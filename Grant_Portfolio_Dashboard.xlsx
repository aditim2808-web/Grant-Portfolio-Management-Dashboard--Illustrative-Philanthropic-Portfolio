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ashboard" sheetId="2" state="visible" r:id="rId4"/>
    <sheet name="Grant Tracker" sheetId="3" state="visible" r:id="rId5"/>
    <sheet name="Finance &amp; Deliverables" sheetId="4" state="visible" r:id="rId6"/>
  </sheets>
  <definedNames>
    <definedName function="false" hidden="false" localSheetId="1" name="_xlnm.Print_Area" vbProcedure="false">Dashboard!$A$1:$S$55</definedName>
    <definedName function="false" hidden="false" localSheetId="0" name="_xlnm.Print_Area" vbProcedure="false">'Executive Summary'!$A$1:$H$16</definedName>
    <definedName function="false" hidden="false" localSheetId="2" name="_xlnm.Print_Area" vbProcedure="false">'Grant Tracker'!$A$1:$U$11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<sst xmlns="http://schemas.openxmlformats.org/spreadsheetml/2006/main" count="135" uniqueCount="104">
  <si>
    <t xml:space="preserve">Grant Portfolio — Executive Summary</t>
  </si>
  <si>
    <t xml:space="preserve">Illustrative portfolio for demonstration purposes | Clean Air Fund India — sample analyst tracker</t>
  </si>
  <si>
    <t xml:space="preserve">Key Figures</t>
  </si>
  <si>
    <t xml:space="preserve">Portfolio Value</t>
  </si>
  <si>
    <t xml:space="preserve">Total Disbursed</t>
  </si>
  <si>
    <t xml:space="preserve">Overall Utilisation</t>
  </si>
  <si>
    <t xml:space="preserve">Active Grants</t>
  </si>
  <si>
    <t xml:space="preserve">High-Risk Grants</t>
  </si>
  <si>
    <t xml:space="preserve">Reports Due &lt;30 Days</t>
  </si>
  <si>
    <t xml:space="preserve">Portfolio Dashboard</t>
  </si>
  <si>
    <t xml:space="preserve">Clean Air Fund India — Illustrative Grant Portfolio</t>
  </si>
  <si>
    <t xml:space="preserve">PORTFOLIO VALUE</t>
  </si>
  <si>
    <t xml:space="preserve">TOTAL DISBURSED</t>
  </si>
  <si>
    <t xml:space="preserve">UTILISATION</t>
  </si>
  <si>
    <t xml:space="preserve">ACTIVE GRANTS</t>
  </si>
  <si>
    <t xml:space="preserve">HIGH-RISK GRANTS</t>
  </si>
  <si>
    <t xml:space="preserve">Chart Data (auto-calculated — do not delete)</t>
  </si>
  <si>
    <t xml:space="preserve">Grant</t>
  </si>
  <si>
    <t xml:space="preserve">Total Budget</t>
  </si>
  <si>
    <t xml:space="preserve">Disbursed</t>
  </si>
  <si>
    <t xml:space="preserve">Utilisation %</t>
  </si>
  <si>
    <t xml:space="preserve">Status</t>
  </si>
  <si>
    <t xml:space="preserve">Count</t>
  </si>
  <si>
    <t xml:space="preserve">On Track</t>
  </si>
  <si>
    <t xml:space="preserve">Needs Attention</t>
  </si>
  <si>
    <t xml:space="preserve">Completed</t>
  </si>
  <si>
    <t xml:space="preserve">Delayed</t>
  </si>
  <si>
    <t xml:space="preserve">Risk</t>
  </si>
  <si>
    <t xml:space="preserve">Low</t>
  </si>
  <si>
    <t xml:space="preserve">Medium</t>
  </si>
  <si>
    <t xml:space="preserve">High</t>
  </si>
  <si>
    <t xml:space="preserve">Grant Health Score</t>
  </si>
  <si>
    <t xml:space="preserve">Score</t>
  </si>
  <si>
    <t xml:space="preserve">Rating</t>
  </si>
  <si>
    <t xml:space="preserve">Reporting Calendar</t>
  </si>
  <si>
    <t xml:space="preserve">Reporting Due</t>
  </si>
  <si>
    <t xml:space="preserve">Grant Tracker — Clean Air Fund India Portfolio (Illustrative)</t>
  </si>
  <si>
    <t xml:space="preserve">Note: All figures are illustrative and for demonstration purposes only, based on publicly available information about CAF's India portfolio areas.</t>
  </si>
  <si>
    <t xml:space="preserve">Grant Name</t>
  </si>
  <si>
    <t xml:space="preserve">Partner</t>
  </si>
  <si>
    <t xml:space="preserve">Focus</t>
  </si>
  <si>
    <t xml:space="preserve">Total Budget (INR)</t>
  </si>
  <si>
    <t xml:space="preserve">Disbursed (INR)</t>
  </si>
  <si>
    <t xml:space="preserve">Remaining (INR)</t>
  </si>
  <si>
    <t xml:space="preserve">% Utilised</t>
  </si>
  <si>
    <t xml:space="preserve">Budget Remaining %</t>
  </si>
  <si>
    <t xml:space="preserve">Start Date</t>
  </si>
  <si>
    <t xml:space="preserve">End Date</t>
  </si>
  <si>
    <t xml:space="preserve">Days Remaining</t>
  </si>
  <si>
    <t xml:space="preserve">Progress %</t>
  </si>
  <si>
    <t xml:space="preserve">Planned Disbursement</t>
  </si>
  <si>
    <t xml:space="preserve">Variance %</t>
  </si>
  <si>
    <t xml:space="preserve">Reporting Status</t>
  </si>
  <si>
    <t xml:space="preserve">Health Score</t>
  </si>
  <si>
    <t xml:space="preserve">Health Rating</t>
  </si>
  <si>
    <t xml:space="preserve">Action Required</t>
  </si>
  <si>
    <t xml:space="preserve">Air Quality Monitoring</t>
  </si>
  <si>
    <t xml:space="preserve">Research Institute</t>
  </si>
  <si>
    <t xml:space="preserve">Data and Modelling</t>
  </si>
  <si>
    <t xml:space="preserve">None — on schedule, monitor next milestone</t>
  </si>
  <si>
    <t xml:space="preserve">City Emissions Programme</t>
  </si>
  <si>
    <t xml:space="preserve">State Pollution Control Board</t>
  </si>
  <si>
    <t xml:space="preserve">Regulatory Implementation</t>
  </si>
  <si>
    <t xml:space="preserve">Follow up with partner on procurement delays; request revised disbursement timeline</t>
  </si>
  <si>
    <t xml:space="preserve">CEO Clean Air Initiative</t>
  </si>
  <si>
    <t xml:space="preserve">Civil Society Organisation</t>
  </si>
  <si>
    <t xml:space="preserve">Stakeholder Engagement</t>
  </si>
  <si>
    <t xml:space="preserve">Close out grant file; archive final report</t>
  </si>
  <si>
    <t xml:space="preserve">Clean Air &amp; Health Project</t>
  </si>
  <si>
    <t xml:space="preserve">Public Health Foundation</t>
  </si>
  <si>
    <t xml:space="preserve">Health Impact</t>
  </si>
  <si>
    <t xml:space="preserve">None — early implementation phase, on pace</t>
  </si>
  <si>
    <t xml:space="preserve">Community Awareness Campaign</t>
  </si>
  <si>
    <t xml:space="preserve">Urban Local Body</t>
  </si>
  <si>
    <t xml:space="preserve">Citizen Engagement</t>
  </si>
  <si>
    <t xml:space="preserve">Urgent check-in call; missed milestone, request cause and revised plan</t>
  </si>
  <si>
    <t xml:space="preserve">Total / Portfolio</t>
  </si>
  <si>
    <t xml:space="preserve">Finance &amp; Deliverables Tracker</t>
  </si>
  <si>
    <t xml:space="preserve">Note: Illustrative payment and deliverable records, linked to Grant Tracker figures.</t>
  </si>
  <si>
    <t xml:space="preserve">Payment Request Submitted</t>
  </si>
  <si>
    <t xml:space="preserve">Payment Approved</t>
  </si>
  <si>
    <t xml:space="preserve">Invoice Received</t>
  </si>
  <si>
    <t xml:space="preserve">Invoice Pending</t>
  </si>
  <si>
    <t xml:space="preserve">Payment Date</t>
  </si>
  <si>
    <t xml:space="preserve">Actual Payment (INR)</t>
  </si>
  <si>
    <t xml:space="preserve">Expected Payment (INR)</t>
  </si>
  <si>
    <t xml:space="preserve">Payment Variance (INR)</t>
  </si>
  <si>
    <t xml:space="preserve">Deliverables Planned</t>
  </si>
  <si>
    <t xml:space="preserve">Deliverables Completed</t>
  </si>
  <si>
    <t xml:space="preserve">Completion %</t>
  </si>
  <si>
    <t xml:space="preserve">Milestones Achieved</t>
  </si>
  <si>
    <t xml:space="preserve">Next Milestone</t>
  </si>
  <si>
    <t xml:space="preserve">Yes</t>
  </si>
  <si>
    <t xml:space="preserve">No</t>
  </si>
  <si>
    <t xml:space="preserve">Sensor network live in 3 cities</t>
  </si>
  <si>
    <t xml:space="preserve">Mid-term data validation report</t>
  </si>
  <si>
    <t xml:space="preserve">Baseline emissions inventory</t>
  </si>
  <si>
    <t xml:space="preserve">Draft state implementation roadmap</t>
  </si>
  <si>
    <t xml:space="preserve">All CEO roundtables completed</t>
  </si>
  <si>
    <t xml:space="preserve">Final report submitted</t>
  </si>
  <si>
    <t xml:space="preserve">Health impact baseline survey</t>
  </si>
  <si>
    <t xml:space="preserve">Household exposure pilot results</t>
  </si>
  <si>
    <t xml:space="preserve">Campaign launch event</t>
  </si>
  <si>
    <t xml:space="preserve">Revised outreach plan (overdue)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</si>
</sst>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"/>
    <numFmt numFmtId="166" formatCode="0.0%"/>
    <numFmt numFmtId="167" formatCode="0"/>
    <numFmt numFmtId="168" formatCode="\₹#,##0,,\L"/>
    <numFmt numFmtId="169" formatCode="#,##0;\(#,##0\);\-"/>
    <numFmt numFmtId="170" formatCode="0%"/>
    <numFmt numFmtId="171" formatCode="dd\-mmm\-yyyy"/>
    <numFmt numFmtId="172" formatCode="#,##0&quot; days&quot;"/>
    <numFmt numFmtId="173" formatCode="0.0%;\(0.0%\);\-"/>
    <numFmt numFmtId="174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000000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000000"/>
        <bgColor rgb="FF003300"/>
      </patternFill>
    </fill>
    <fill>
      <patternFill patternType="solid">
        <fgColor rgb="FFD9D9D9"/>
        <bgColor rgb="FFC6EFC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FEDB8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8A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EFECAA"/>
          <bgColor rgb="FF000000"/>
        </patternFill>
      </fill>
    </dxf>
    <dxf>
      <fill>
        <patternFill patternType="solid">
          <fgColor rgb="FFFFD7B7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A6A6A6"/>
      <rgbColor rgb="FF808080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Disbursed by Grant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Total 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Air Quality Monitoring</c:v>
                </c:pt>
                <c:pt idx="1">
                  <c:v>City Emissions Programme</c:v>
                </c:pt>
                <c:pt idx="2">
                  <c:v>CEO Clean Air Initiative</c:v>
                </c:pt>
                <c:pt idx="3">
                  <c:v>Clean Air &amp; Health Project</c:v>
                </c:pt>
                <c:pt idx="4">
                  <c:v>Community Awareness Campaign</c:v>
                </c:pt>
              </c:strCache>
            </c:strRef>
          </c:cat>
          <c:val>
            <c:numRef>
              <c:f>Dashboard!$B$11:$B$15</c:f>
              <c:numCache>
                <c:formatCode>#,##0;\(#,##0\);\-</c:formatCode>
                <c:ptCount val="5"/>
                <c:pt idx="0">
                  <c:v>4500000</c:v>
                </c:pt>
                <c:pt idx="1">
                  <c:v>6800000</c:v>
                </c:pt>
                <c:pt idx="2">
                  <c:v>1800000</c:v>
                </c:pt>
                <c:pt idx="3">
                  <c:v>2900000</c:v>
                </c:pt>
                <c:pt idx="4">
                  <c:v>1200000</c:v>
                </c:pt>
              </c:numCache>
            </c:numRef>
          </c:val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Air Quality Monitoring</c:v>
                </c:pt>
                <c:pt idx="1">
                  <c:v>City Emissions Programme</c:v>
                </c:pt>
                <c:pt idx="2">
                  <c:v>CEO Clean Air Initiative</c:v>
                </c:pt>
                <c:pt idx="3">
                  <c:v>Clean Air &amp; Health Project</c:v>
                </c:pt>
                <c:pt idx="4">
                  <c:v>Community Awareness Campaign</c:v>
                </c:pt>
              </c:strCache>
            </c:strRef>
          </c:cat>
          <c:val>
            <c:numRef>
              <c:f>Dashboard!$C$11:$C$15</c:f>
              <c:numCache>
                <c:formatCode>#,##0;\(#,##0\);\-</c:formatCode>
                <c:ptCount val="5"/>
                <c:pt idx="0">
                  <c:v>3200000</c:v>
                </c:pt>
                <c:pt idx="1">
                  <c:v>2100000</c:v>
                </c:pt>
                <c:pt idx="2">
                  <c:v>1800000</c:v>
                </c:pt>
                <c:pt idx="3">
                  <c:v>950000</c:v>
                </c:pt>
                <c:pt idx="4">
                  <c:v>40000</c:v>
                </c:pt>
              </c:numCache>
            </c:numRef>
          </c:val>
        </c:ser>
        <c:gapWidth val="150"/>
        <c:overlap val="0"/>
        <c:axId val="85843969"/>
        <c:axId val="29723362"/>
      </c:barChart>
      <c:catAx>
        <c:axId val="858439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23362"/>
        <c:crosses val="autoZero"/>
        <c:auto val="1"/>
        <c:lblAlgn val="ctr"/>
        <c:lblOffset val="100"/>
        <c:noMultiLvlLbl val="0"/>
      </c:catAx>
      <c:valAx>
        <c:axId val="29723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43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Dashboard!$A$18:$A$21</c:f>
              <c:strCache>
                <c:ptCount val="4"/>
                <c:pt idx="0">
                  <c:v>On Track</c:v>
                </c:pt>
                <c:pt idx="1">
                  <c:v>Needs Attention</c:v>
                </c:pt>
                <c:pt idx="2">
                  <c:v>Completed</c:v>
                </c:pt>
                <c:pt idx="3">
                  <c:v>Delayed</c:v>
                </c:pt>
              </c:strCache>
            </c:strRef>
          </c:cat>
          <c:val>
            <c:numRef>
              <c:f>Dashboard!$B$18:$B$21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11587480"/>
        <c:axId val="14869655"/>
      </c:barChart>
      <c:catAx>
        <c:axId val="11587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69655"/>
        <c:crosses val="autoZero"/>
        <c:auto val="1"/>
        <c:lblAlgn val="ctr"/>
        <c:lblOffset val="100"/>
        <c:noMultiLvlLbl val="0"/>
      </c:catAx>
      <c:valAx>
        <c:axId val="14869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Grants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874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Dashboard!B23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Dashboard!$A$24:$A$26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Dashboard!$B$24:$B$26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Utilisation by Grant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Utilisation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Air Quality Monitoring</c:v>
                </c:pt>
                <c:pt idx="1">
                  <c:v>City Emissions Programme</c:v>
                </c:pt>
                <c:pt idx="2">
                  <c:v>CEO Clean Air Initiative</c:v>
                </c:pt>
                <c:pt idx="3">
                  <c:v>Clean Air &amp; Health Project</c:v>
                </c:pt>
                <c:pt idx="4">
                  <c:v>Community Awareness Campaign</c:v>
                </c:pt>
              </c:strCache>
            </c:strRef>
          </c:cat>
          <c:val>
            <c:numRef>
              <c:f>Dashboard!$D$11:$D$15</c:f>
              <c:numCache>
                <c:formatCode>0%</c:formatCode>
                <c:ptCount val="5"/>
                <c:pt idx="0">
                  <c:v>0.711111111111111</c:v>
                </c:pt>
                <c:pt idx="1">
                  <c:v>0.308823529411765</c:v>
                </c:pt>
                <c:pt idx="2">
                  <c:v>1</c:v>
                </c:pt>
                <c:pt idx="3">
                  <c:v>0.327586206896552</c:v>
                </c:pt>
                <c:pt idx="4">
                  <c:v>0.0333333333333333</c:v>
                </c:pt>
              </c:numCache>
            </c:numRef>
          </c:val>
        </c:ser>
        <c:gapWidth val="150"/>
        <c:overlap val="0"/>
        <c:axId val="91242038"/>
        <c:axId val="38974905"/>
      </c:barChart>
      <c:catAx>
        <c:axId val="912420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74905"/>
        <c:crosses val="autoZero"/>
        <c:auto val="1"/>
        <c:lblAlgn val="ctr"/>
        <c:lblOffset val="100"/>
        <c:noMultiLvlLbl val="0"/>
      </c:catAx>
      <c:valAx>
        <c:axId val="38974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420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Grant Health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Dashboard!B29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Dashboard!$A$30:$A$34</c:f>
              <c:strCache>
                <c:ptCount val="5"/>
                <c:pt idx="0">
                  <c:v>Air Quality Monitoring</c:v>
                </c:pt>
                <c:pt idx="1">
                  <c:v>City Emissions Programme</c:v>
                </c:pt>
                <c:pt idx="2">
                  <c:v>CEO Clean Air Initiative</c:v>
                </c:pt>
                <c:pt idx="3">
                  <c:v>Clean Air &amp; Health Project</c:v>
                </c:pt>
                <c:pt idx="4">
                  <c:v>Community Awareness Campaign</c:v>
                </c:pt>
              </c:strCache>
            </c:strRef>
          </c:cat>
          <c:val>
            <c:numRef>
              <c:f>Dashboard!$B$30:$B$34</c:f>
              <c:numCache>
                <c:formatCode>0</c:formatCode>
                <c:ptCount val="5"/>
                <c:pt idx="0">
                  <c:v>100</c:v>
                </c:pt>
                <c:pt idx="1">
                  <c:v>75</c:v>
                </c:pt>
                <c:pt idx="2">
                  <c:v>100</c:v>
                </c:pt>
                <c:pt idx="3">
                  <c:v>100</c:v>
                </c:pt>
                <c:pt idx="4">
                  <c:v>30</c:v>
                </c:pt>
              </c:numCache>
            </c:numRef>
          </c:val>
        </c:ser>
        <c:gapWidth val="150"/>
        <c:overlap val="0"/>
        <c:axId val="75443798"/>
        <c:axId val="2152312"/>
      </c:barChart>
      <c:catAx>
        <c:axId val="754437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2312"/>
        <c:crosses val="autoZero"/>
        <c:auto val="1"/>
        <c:lblAlgn val="ctr"/>
        <c:lblOffset val="100"/>
        <c:noMultiLvlLbl val="0"/>
      </c:catAx>
      <c:valAx>
        <c:axId val="21523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437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70560</xdr:rowOff>
    </xdr:from>
    <xdr:to>
      <xdr:col>13</xdr:col>
      <xdr:colOff>196200</xdr:colOff>
      <xdr:row>17</xdr:row>
      <xdr:rowOff>14400</xdr:rowOff>
    </xdr:to>
    <xdr:graphicFrame>
      <xdr:nvGraphicFramePr>
        <xdr:cNvPr id="0" name="Chart 1"/>
        <xdr:cNvGraphicFramePr/>
      </xdr:nvGraphicFramePr>
      <xdr:xfrm>
        <a:off x="6063480" y="565920"/>
        <a:ext cx="61246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70560</xdr:rowOff>
    </xdr:from>
    <xdr:to>
      <xdr:col>10</xdr:col>
      <xdr:colOff>617400</xdr:colOff>
      <xdr:row>37</xdr:row>
      <xdr:rowOff>71280</xdr:rowOff>
    </xdr:to>
    <xdr:graphicFrame>
      <xdr:nvGraphicFramePr>
        <xdr:cNvPr id="1" name="Chart 2"/>
        <xdr:cNvGraphicFramePr/>
      </xdr:nvGraphicFramePr>
      <xdr:xfrm>
        <a:off x="6063480" y="4433040"/>
        <a:ext cx="43228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20</xdr:row>
      <xdr:rowOff>70560</xdr:rowOff>
    </xdr:from>
    <xdr:to>
      <xdr:col>16</xdr:col>
      <xdr:colOff>5760</xdr:colOff>
      <xdr:row>37</xdr:row>
      <xdr:rowOff>71280</xdr:rowOff>
    </xdr:to>
    <xdr:graphicFrame>
      <xdr:nvGraphicFramePr>
        <xdr:cNvPr id="2" name="Chart 3"/>
        <xdr:cNvGraphicFramePr/>
      </xdr:nvGraphicFramePr>
      <xdr:xfrm>
        <a:off x="9768960" y="4433040"/>
        <a:ext cx="432252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37</xdr:row>
      <xdr:rowOff>70200</xdr:rowOff>
    </xdr:from>
    <xdr:to>
      <xdr:col>13</xdr:col>
      <xdr:colOff>196200</xdr:colOff>
      <xdr:row>54</xdr:row>
      <xdr:rowOff>71280</xdr:rowOff>
    </xdr:to>
    <xdr:graphicFrame>
      <xdr:nvGraphicFramePr>
        <xdr:cNvPr id="3" name="Chart 4"/>
        <xdr:cNvGraphicFramePr/>
      </xdr:nvGraphicFramePr>
      <xdr:xfrm>
        <a:off x="6063480" y="7671240"/>
        <a:ext cx="61246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37</xdr:row>
      <xdr:rowOff>70200</xdr:rowOff>
    </xdr:from>
    <xdr:to>
      <xdr:col>16</xdr:col>
      <xdr:colOff>5760</xdr:colOff>
      <xdr:row>54</xdr:row>
      <xdr:rowOff>71280</xdr:rowOff>
    </xdr:to>
    <xdr:graphicFrame>
      <xdr:nvGraphicFramePr>
        <xdr:cNvPr id="4" name="Chart 5"/>
        <xdr:cNvGraphicFramePr/>
      </xdr:nvGraphicFramePr>
      <xdr:xfrm>
        <a:off x="9768960" y="7671240"/>
        <a:ext cx="432252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inanceDeliverables" displayName="FinanceDeliverables" ref="A4:N9" headerRowCount="1" totalsRowCount="0" totalsRowShown="0">
  <autoFilter ref="A4:N9"/>
  <tableColumns count="14">
    <tableColumn id="1" name="Grant Name"/>
    <tableColumn id="2" name="Payment Request Submitted"/>
    <tableColumn id="3" name="Payment Approved"/>
    <tableColumn id="4" name="Invoice Received"/>
    <tableColumn id="5" name="Invoice Pending"/>
    <tableColumn id="6" name="Payment Date"/>
    <tableColumn id="7" name="Actual Payment (INR)"/>
    <tableColumn id="8" name="Expected Payment (INR)"/>
    <tableColumn id="9" name="Payment Variance (INR)"/>
    <tableColumn id="10" name="Deliverables Planned"/>
    <tableColumn id="11" name="Deliverables Completed"/>
    <tableColumn id="12" name="Completion %"/>
    <tableColumn id="13" name="Milestones Achieved"/>
    <tableColumn id="14" name="Next Milestone"/>
  </tableColumns>
</table>
</file>

<file path=xl/tables/table2.xml><?xml version="1.0" encoding="utf-8"?>
<table xmlns="http://schemas.openxmlformats.org/spreadsheetml/2006/main" id="2" name="GrantTracker" displayName="GrantTracker" ref="A5:U10" headerRowCount="1" totalsRowCount="0" totalsRowShown="0">
  <autoFilter ref="A5:U10"/>
  <tableColumns count="21">
    <tableColumn id="1" name="Grant Name"/>
    <tableColumn id="2" name="Partner"/>
    <tableColumn id="3" name="Focus"/>
    <tableColumn id="4" name="Total Budget (INR)"/>
    <tableColumn id="5" name="Disbursed (INR)"/>
    <tableColumn id="6" name="Remaining (INR)"/>
    <tableColumn id="7" name="% Utilised"/>
    <tableColumn id="8" name="Budget Remaining %"/>
    <tableColumn id="9" name="Start Date"/>
    <tableColumn id="10" name="End Date"/>
    <tableColumn id="11" name="Days Remaining"/>
    <tableColumn id="12" name="Progress %"/>
    <tableColumn id="13" name="Planned Disbursement"/>
    <tableColumn id="14" name="Variance %"/>
    <tableColumn id="15" name="Status"/>
    <tableColumn id="16" name="Risk"/>
    <tableColumn id="17" name="Reporting Due"/>
    <tableColumn id="18" name="Reporting Status"/>
    <tableColumn id="19" name="Health Score"/>
    <tableColumn id="20" name="Health Rating"/>
    <tableColumn id="21" name="Action Requir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8" min="3" style="1" width="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tr">
        <f aca="false">"Portfolio comprises "&amp;COUNTA('Grant Tracker'!A6:A10)&amp;" active grants worth ₹"&amp;TEXT(SUM('Grant Tracker'!D6:D10)/10000000,"0.00")&amp;" crore. Overall utilisation is "&amp;TEXT(SUM('Grant Tracker'!E6:E10)/SUM('Grant Tracker'!D6:D10),"0%")&amp;". "&amp;COUNTIF('Grant Tracker'!P6:P10,"High")&amp;" grant(s) are high risk due to implementation or reporting delays. "&amp;(COUNTIF('Grant Tracker'!R6:R10,"*Due*")+COUNTIF('Grant Tracker'!R6:R10,"*Overdue*"))&amp;" report(s) are due or overdue within the current cycle."</f>
        <v>Portfolio comprises 5 active grants worth ₹1.72 crore. Overall utilisation is 47%. 1 grant(s) are high risk due to implementation or reporting delays. 3 report(s) are due or overdue within the current cycle.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5" t="s">
        <v>2</v>
      </c>
    </row>
    <row r="9" customFormat="false" ht="15" hidden="false" customHeight="true" outlineLevel="0" collapsed="false">
      <c r="A9" s="6" t="s">
        <v>3</v>
      </c>
      <c r="B9" s="7" t="n">
        <f aca="false">SUM('Grant Tracker'!D6:D10)</f>
        <v>17200000</v>
      </c>
    </row>
    <row r="10" customFormat="false" ht="15" hidden="false" customHeight="true" outlineLevel="0" collapsed="false">
      <c r="A10" s="6" t="s">
        <v>4</v>
      </c>
      <c r="B10" s="7" t="n">
        <f aca="false">SUM('Grant Tracker'!E6:E10)</f>
        <v>8090000</v>
      </c>
    </row>
    <row r="11" customFormat="false" ht="15" hidden="false" customHeight="true" outlineLevel="0" collapsed="false">
      <c r="A11" s="6" t="s">
        <v>5</v>
      </c>
      <c r="B11" s="8" t="n">
        <f aca="false">SUM('Grant Tracker'!E6:E10)/SUM('Grant Tracker'!D6:D10)</f>
        <v>0.470348837209302</v>
      </c>
    </row>
    <row r="12" customFormat="false" ht="15" hidden="false" customHeight="true" outlineLevel="0" collapsed="false">
      <c r="A12" s="6" t="s">
        <v>6</v>
      </c>
      <c r="B12" s="9" t="n">
        <f aca="false">COUNTIF('Grant Tracker'!O6:O10,"&lt;&gt;Completed")</f>
        <v>4</v>
      </c>
    </row>
    <row r="13" customFormat="false" ht="15" hidden="false" customHeight="true" outlineLevel="0" collapsed="false">
      <c r="A13" s="6" t="s">
        <v>7</v>
      </c>
      <c r="B13" s="9" t="n">
        <f aca="false">COUNTIF('Grant Tracker'!P6:P10,"High")</f>
        <v>1</v>
      </c>
    </row>
    <row r="14" customFormat="false" ht="15" hidden="false" customHeight="true" outlineLevel="0" collapsed="false">
      <c r="A14" s="6" t="s">
        <v>8</v>
      </c>
      <c r="B14" s="9" t="n">
        <f aca="false">COUNTIF('Grant Tracker'!R6:R10,"*Due*")+COUNTIF('Grant Tracker'!R6:R10,"*Overdue*")</f>
        <v>3</v>
      </c>
    </row>
  </sheetData>
  <mergeCells count="3">
    <mergeCell ref="A1:H1"/>
    <mergeCell ref="A2:H2"/>
    <mergeCell ref="A4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15" min="4" style="1" width="10.51"/>
  </cols>
  <sheetData>
    <row r="1" customFormat="false" ht="24" hidden="false" customHeight="true" outlineLevel="0" collapsed="false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5" hidden="false" customHeight="true" outlineLevel="0" collapsed="false">
      <c r="A2" s="11" t="s">
        <v>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customFormat="false" ht="19.5" hidden="false" customHeight="true" outlineLevel="0" collapsed="false">
      <c r="A4" s="12" t="s">
        <v>11</v>
      </c>
      <c r="B4" s="12"/>
      <c r="D4" s="12" t="s">
        <v>12</v>
      </c>
      <c r="E4" s="12"/>
      <c r="G4" s="12" t="s">
        <v>13</v>
      </c>
      <c r="H4" s="12"/>
      <c r="J4" s="12" t="s">
        <v>14</v>
      </c>
      <c r="K4" s="12"/>
      <c r="M4" s="12" t="s">
        <v>15</v>
      </c>
      <c r="N4" s="12"/>
    </row>
    <row r="5" customFormat="false" ht="30" hidden="false" customHeight="true" outlineLevel="0" collapsed="false">
      <c r="A5" s="13" t="n">
        <f aca="false">'Grant Tracker'!D11</f>
        <v>17200000</v>
      </c>
      <c r="B5" s="13"/>
      <c r="D5" s="13" t="n">
        <f aca="false">'Grant Tracker'!E11</f>
        <v>8090000</v>
      </c>
      <c r="E5" s="13"/>
      <c r="G5" s="14" t="n">
        <f aca="false">'Grant Tracker'!G11</f>
        <v>0.470348837209302</v>
      </c>
      <c r="H5" s="14"/>
      <c r="J5" s="15" t="n">
        <f aca="false">COUNTIF('Grant Tracker'!O6:O10,"&lt;&gt;Completed")</f>
        <v>4</v>
      </c>
      <c r="K5" s="15"/>
      <c r="M5" s="15" t="n">
        <f aca="false">COUNTIF('Grant Tracker'!P6:P10,"High")</f>
        <v>1</v>
      </c>
      <c r="N5" s="15"/>
    </row>
    <row r="6" customFormat="false" ht="30" hidden="false" customHeight="true" outlineLevel="0" collapsed="false">
      <c r="A6" s="13"/>
      <c r="B6" s="13"/>
      <c r="D6" s="13"/>
      <c r="E6" s="13"/>
      <c r="G6" s="14"/>
      <c r="H6" s="14"/>
      <c r="J6" s="15"/>
      <c r="K6" s="15"/>
      <c r="M6" s="15"/>
      <c r="N6" s="15"/>
    </row>
    <row r="9" customFormat="false" ht="15" hidden="false" customHeight="true" outlineLevel="0" collapsed="false">
      <c r="A9" s="16" t="s">
        <v>16</v>
      </c>
    </row>
    <row r="10" customFormat="false" ht="15" hidden="false" customHeight="true" outlineLevel="0" collapsed="false">
      <c r="A10" s="17" t="s">
        <v>17</v>
      </c>
      <c r="B10" s="17" t="s">
        <v>18</v>
      </c>
      <c r="C10" s="17" t="s">
        <v>19</v>
      </c>
      <c r="D10" s="17" t="s">
        <v>20</v>
      </c>
    </row>
    <row r="11" customFormat="false" ht="15" hidden="false" customHeight="true" outlineLevel="0" collapsed="false">
      <c r="A11" s="18" t="str">
        <f aca="false">'Grant Tracker'!A6</f>
        <v>Air Quality Monitoring</v>
      </c>
      <c r="B11" s="19" t="n">
        <f aca="false">'Grant Tracker'!D6</f>
        <v>4500000</v>
      </c>
      <c r="C11" s="19" t="n">
        <f aca="false">'Grant Tracker'!E6</f>
        <v>3200000</v>
      </c>
      <c r="D11" s="20" t="n">
        <f aca="false">'Grant Tracker'!G6</f>
        <v>0.711111111111111</v>
      </c>
    </row>
    <row r="12" customFormat="false" ht="15" hidden="false" customHeight="true" outlineLevel="0" collapsed="false">
      <c r="A12" s="18" t="str">
        <f aca="false">'Grant Tracker'!A7</f>
        <v>City Emissions Programme</v>
      </c>
      <c r="B12" s="19" t="n">
        <f aca="false">'Grant Tracker'!D7</f>
        <v>6800000</v>
      </c>
      <c r="C12" s="19" t="n">
        <f aca="false">'Grant Tracker'!E7</f>
        <v>2100000</v>
      </c>
      <c r="D12" s="20" t="n">
        <f aca="false">'Grant Tracker'!G7</f>
        <v>0.308823529411765</v>
      </c>
    </row>
    <row r="13" customFormat="false" ht="15" hidden="false" customHeight="true" outlineLevel="0" collapsed="false">
      <c r="A13" s="18" t="str">
        <f aca="false">'Grant Tracker'!A8</f>
        <v>CEO Clean Air Initiative</v>
      </c>
      <c r="B13" s="19" t="n">
        <f aca="false">'Grant Tracker'!D8</f>
        <v>1800000</v>
      </c>
      <c r="C13" s="19" t="n">
        <f aca="false">'Grant Tracker'!E8</f>
        <v>1800000</v>
      </c>
      <c r="D13" s="20" t="n">
        <f aca="false">'Grant Tracker'!G8</f>
        <v>1</v>
      </c>
    </row>
    <row r="14" customFormat="false" ht="15" hidden="false" customHeight="true" outlineLevel="0" collapsed="false">
      <c r="A14" s="18" t="str">
        <f aca="false">'Grant Tracker'!A9</f>
        <v>Clean Air &amp; Health Project</v>
      </c>
      <c r="B14" s="19" t="n">
        <f aca="false">'Grant Tracker'!D9</f>
        <v>2900000</v>
      </c>
      <c r="C14" s="19" t="n">
        <f aca="false">'Grant Tracker'!E9</f>
        <v>950000</v>
      </c>
      <c r="D14" s="20" t="n">
        <f aca="false">'Grant Tracker'!G9</f>
        <v>0.327586206896552</v>
      </c>
    </row>
    <row r="15" customFormat="false" ht="15" hidden="false" customHeight="true" outlineLevel="0" collapsed="false">
      <c r="A15" s="18" t="str">
        <f aca="false">'Grant Tracker'!A10</f>
        <v>Community Awareness Campaign</v>
      </c>
      <c r="B15" s="19" t="n">
        <f aca="false">'Grant Tracker'!D10</f>
        <v>1200000</v>
      </c>
      <c r="C15" s="19" t="n">
        <f aca="false">'Grant Tracker'!E10</f>
        <v>40000</v>
      </c>
      <c r="D15" s="20" t="n">
        <f aca="false">'Grant Tracker'!G10</f>
        <v>0.0333333333333333</v>
      </c>
    </row>
    <row r="17" customFormat="false" ht="15" hidden="false" customHeight="true" outlineLevel="0" collapsed="false">
      <c r="A17" s="17" t="s">
        <v>21</v>
      </c>
      <c r="B17" s="17" t="s">
        <v>22</v>
      </c>
    </row>
    <row r="18" customFormat="false" ht="15" hidden="false" customHeight="true" outlineLevel="0" collapsed="false">
      <c r="A18" s="18" t="s">
        <v>23</v>
      </c>
      <c r="B18" s="18" t="n">
        <f aca="false">COUNTIF('Grant Tracker'!O6:O10,"On Track")</f>
        <v>2</v>
      </c>
    </row>
    <row r="19" customFormat="false" ht="15" hidden="false" customHeight="true" outlineLevel="0" collapsed="false">
      <c r="A19" s="18" t="s">
        <v>24</v>
      </c>
      <c r="B19" s="18" t="n">
        <f aca="false">COUNTIF('Grant Tracker'!O6:O10,"Needs Attention")</f>
        <v>1</v>
      </c>
    </row>
    <row r="20" customFormat="false" ht="15" hidden="false" customHeight="true" outlineLevel="0" collapsed="false">
      <c r="A20" s="18" t="s">
        <v>25</v>
      </c>
      <c r="B20" s="18" t="n">
        <f aca="false">COUNTIF('Grant Tracker'!O6:O10,"Completed")</f>
        <v>1</v>
      </c>
    </row>
    <row r="21" customFormat="false" ht="15" hidden="false" customHeight="true" outlineLevel="0" collapsed="false">
      <c r="A21" s="18" t="s">
        <v>26</v>
      </c>
      <c r="B21" s="18" t="n">
        <f aca="false">COUNTIF('Grant Tracker'!O6:O10,"Delayed")</f>
        <v>1</v>
      </c>
    </row>
    <row r="23" customFormat="false" ht="15" hidden="false" customHeight="true" outlineLevel="0" collapsed="false">
      <c r="A23" s="17" t="s">
        <v>27</v>
      </c>
      <c r="B23" s="17" t="s">
        <v>22</v>
      </c>
    </row>
    <row r="24" customFormat="false" ht="15" hidden="false" customHeight="true" outlineLevel="0" collapsed="false">
      <c r="A24" s="18" t="s">
        <v>28</v>
      </c>
      <c r="B24" s="18" t="n">
        <f aca="false">COUNTIF('Grant Tracker'!P6:P10,"Low")</f>
        <v>3</v>
      </c>
    </row>
    <row r="25" customFormat="false" ht="15" hidden="false" customHeight="true" outlineLevel="0" collapsed="false">
      <c r="A25" s="18" t="s">
        <v>29</v>
      </c>
      <c r="B25" s="18" t="n">
        <f aca="false">COUNTIF('Grant Tracker'!P6:P10,"Medium")</f>
        <v>1</v>
      </c>
    </row>
    <row r="26" customFormat="false" ht="15" hidden="false" customHeight="true" outlineLevel="0" collapsed="false">
      <c r="A26" s="18" t="s">
        <v>30</v>
      </c>
      <c r="B26" s="18" t="n">
        <f aca="false">COUNTIF('Grant Tracker'!P6:P10,"High")</f>
        <v>1</v>
      </c>
    </row>
    <row r="28" customFormat="false" ht="15" hidden="false" customHeight="true" outlineLevel="0" collapsed="false">
      <c r="A28" s="21" t="s">
        <v>31</v>
      </c>
    </row>
    <row r="29" customFormat="false" ht="15" hidden="false" customHeight="true" outlineLevel="0" collapsed="false">
      <c r="A29" s="22" t="s">
        <v>17</v>
      </c>
      <c r="B29" s="22" t="s">
        <v>32</v>
      </c>
      <c r="C29" s="22" t="s">
        <v>33</v>
      </c>
    </row>
    <row r="30" customFormat="false" ht="15" hidden="false" customHeight="true" outlineLevel="0" collapsed="false">
      <c r="A30" s="18" t="str">
        <f aca="false">'Grant Tracker'!A6</f>
        <v>Air Quality Monitoring</v>
      </c>
      <c r="B30" s="23" t="n">
        <f aca="false">'Grant Tracker'!S6</f>
        <v>100</v>
      </c>
      <c r="C30" s="24" t="str">
        <f aca="false">'Grant Tracker'!T6</f>
        <v>🟢 Green</v>
      </c>
    </row>
    <row r="31" customFormat="false" ht="15" hidden="false" customHeight="true" outlineLevel="0" collapsed="false">
      <c r="A31" s="18" t="str">
        <f aca="false">'Grant Tracker'!A7</f>
        <v>City Emissions Programme</v>
      </c>
      <c r="B31" s="23" t="n">
        <f aca="false">'Grant Tracker'!S7</f>
        <v>75</v>
      </c>
      <c r="C31" s="24" t="str">
        <f aca="false">'Grant Tracker'!T7</f>
        <v>🟡 Amber</v>
      </c>
    </row>
    <row r="32" customFormat="false" ht="15" hidden="false" customHeight="true" outlineLevel="0" collapsed="false">
      <c r="A32" s="18" t="str">
        <f aca="false">'Grant Tracker'!A8</f>
        <v>CEO Clean Air Initiative</v>
      </c>
      <c r="B32" s="23" t="n">
        <f aca="false">'Grant Tracker'!S8</f>
        <v>100</v>
      </c>
      <c r="C32" s="24" t="str">
        <f aca="false">'Grant Tracker'!T8</f>
        <v>🟢 Green</v>
      </c>
    </row>
    <row r="33" customFormat="false" ht="15" hidden="false" customHeight="true" outlineLevel="0" collapsed="false">
      <c r="A33" s="18" t="str">
        <f aca="false">'Grant Tracker'!A9</f>
        <v>Clean Air &amp; Health Project</v>
      </c>
      <c r="B33" s="23" t="n">
        <f aca="false">'Grant Tracker'!S9</f>
        <v>100</v>
      </c>
      <c r="C33" s="24" t="str">
        <f aca="false">'Grant Tracker'!T9</f>
        <v>🟢 Green</v>
      </c>
    </row>
    <row r="34" customFormat="false" ht="15" hidden="false" customHeight="true" outlineLevel="0" collapsed="false">
      <c r="A34" s="18" t="str">
        <f aca="false">'Grant Tracker'!A10</f>
        <v>Community Awareness Campaign</v>
      </c>
      <c r="B34" s="23" t="n">
        <f aca="false">'Grant Tracker'!S10</f>
        <v>30</v>
      </c>
      <c r="C34" s="24" t="str">
        <f aca="false">'Grant Tracker'!T10</f>
        <v>🔴 Red</v>
      </c>
    </row>
    <row r="37" customFormat="false" ht="15" hidden="false" customHeight="true" outlineLevel="0" collapsed="false">
      <c r="A37" s="21" t="s">
        <v>34</v>
      </c>
    </row>
    <row r="38" customFormat="false" ht="15" hidden="false" customHeight="true" outlineLevel="0" collapsed="false">
      <c r="A38" s="22" t="s">
        <v>17</v>
      </c>
      <c r="B38" s="22" t="s">
        <v>35</v>
      </c>
      <c r="C38" s="22" t="s">
        <v>21</v>
      </c>
    </row>
    <row r="39" customFormat="false" ht="15" hidden="false" customHeight="true" outlineLevel="0" collapsed="false">
      <c r="A39" s="18" t="str">
        <f aca="false">'Grant Tracker'!A6</f>
        <v>Air Quality Monitoring</v>
      </c>
      <c r="B39" s="25" t="n">
        <f aca="false">'Grant Tracker'!Q6</f>
        <v>46242</v>
      </c>
      <c r="C39" s="18" t="str">
        <f aca="false">'Grant Tracker'!R6</f>
        <v>🟢 31 days remaining</v>
      </c>
    </row>
    <row r="40" customFormat="false" ht="15" hidden="false" customHeight="true" outlineLevel="0" collapsed="false">
      <c r="A40" s="18" t="str">
        <f aca="false">'Grant Tracker'!A7</f>
        <v>City Emissions Programme</v>
      </c>
      <c r="B40" s="25" t="n">
        <f aca="false">'Grant Tracker'!Q7</f>
        <v>46220</v>
      </c>
      <c r="C40" s="18" t="str">
        <f aca="false">'Grant Tracker'!R7</f>
        <v>🟡 Due in 9 days</v>
      </c>
    </row>
    <row r="41" customFormat="false" ht="15" hidden="false" customHeight="true" outlineLevel="0" collapsed="false">
      <c r="A41" s="18" t="str">
        <f aca="false">'Grant Tracker'!A8</f>
        <v>CEO Clean Air Initiative</v>
      </c>
      <c r="B41" s="25" t="n">
        <f aca="false">'Grant Tracker'!Q8</f>
        <v>46213</v>
      </c>
      <c r="C41" s="18" t="str">
        <f aca="false">'Grant Tracker'!R8</f>
        <v>✅ Final report submitted</v>
      </c>
    </row>
    <row r="42" customFormat="false" ht="15" hidden="false" customHeight="true" outlineLevel="0" collapsed="false">
      <c r="A42" s="18" t="str">
        <f aca="false">'Grant Tracker'!A9</f>
        <v>Clean Air &amp; Health Project</v>
      </c>
      <c r="B42" s="25" t="n">
        <f aca="false">'Grant Tracker'!Q9</f>
        <v>46270</v>
      </c>
      <c r="C42" s="18" t="str">
        <f aca="false">'Grant Tracker'!R9</f>
        <v>🟢 59 days remaining</v>
      </c>
    </row>
    <row r="43" customFormat="false" ht="15" hidden="false" customHeight="true" outlineLevel="0" collapsed="false">
      <c r="A43" s="18" t="str">
        <f aca="false">'Grant Tracker'!A10</f>
        <v>Community Awareness Campaign</v>
      </c>
      <c r="B43" s="25" t="n">
        <f aca="false">'Grant Tracker'!Q10</f>
        <v>46205</v>
      </c>
      <c r="C43" s="18" t="str">
        <f aca="false">'Grant Tracker'!R10</f>
        <v>🔴 Overdue by 6 days</v>
      </c>
    </row>
  </sheetData>
  <mergeCells count="12">
    <mergeCell ref="A1:N1"/>
    <mergeCell ref="A2:N2"/>
    <mergeCell ref="A4:B4"/>
    <mergeCell ref="D4:E4"/>
    <mergeCell ref="G4:H4"/>
    <mergeCell ref="J4:K4"/>
    <mergeCell ref="M4:N4"/>
    <mergeCell ref="A5:B6"/>
    <mergeCell ref="D5:E6"/>
    <mergeCell ref="G5:H6"/>
    <mergeCell ref="J5:K6"/>
    <mergeCell ref="M5:N6"/>
  </mergeCells>
  <conditionalFormatting sqref="B30:B34">
    <cfRule type="colorScale" priority="2">
      <colorScale>
        <cfvo type="num" val="0"/>
        <cfvo type="num" val="65"/>
        <cfvo type="num" val="10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6" min="4" style="1" width="15"/>
    <col collapsed="false" customWidth="true" hidden="false" outlineLevel="0" max="7" min="7" style="1" width="11"/>
    <col collapsed="false" customWidth="true" hidden="false" outlineLevel="0" max="11" min="8" style="1" width="12"/>
    <col collapsed="false" customWidth="true" hidden="false" outlineLevel="0" max="12" min="12" style="1" width="10"/>
    <col collapsed="false" customWidth="true" hidden="false" outlineLevel="0" max="13" min="13" style="1" width="15"/>
    <col collapsed="false" customWidth="true" hidden="false" outlineLevel="0" max="14" min="14" style="1" width="10"/>
    <col collapsed="false" customWidth="true" hidden="false" outlineLevel="0" max="15" min="15" style="1" width="15"/>
    <col collapsed="false" customWidth="true" hidden="false" outlineLevel="0" max="16" min="16" style="1" width="9"/>
    <col collapsed="false" customWidth="true" hidden="false" outlineLevel="0" max="17" min="17" style="1" width="12"/>
    <col collapsed="false" customWidth="true" hidden="false" outlineLevel="0" max="18" min="18" style="1" width="20"/>
    <col collapsed="false" customWidth="true" hidden="false" outlineLevel="0" max="20" min="19" style="1" width="10"/>
    <col collapsed="false" customWidth="true" hidden="false" outlineLevel="0" max="21" min="21" style="1" width="36"/>
  </cols>
  <sheetData>
    <row r="1" customFormat="false" ht="17.25" hidden="false" customHeight="true" outlineLevel="0" collapsed="false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customFormat="false" ht="15" hidden="false" customHeight="true" outlineLevel="0" collapsed="false">
      <c r="A2" s="3" t="s">
        <v>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5" customFormat="false" ht="32.25" hidden="false" customHeight="true" outlineLevel="0" collapsed="false">
      <c r="A5" s="27" t="s">
        <v>38</v>
      </c>
      <c r="B5" s="27" t="s">
        <v>39</v>
      </c>
      <c r="C5" s="27" t="s">
        <v>40</v>
      </c>
      <c r="D5" s="27" t="s">
        <v>41</v>
      </c>
      <c r="E5" s="27" t="s">
        <v>42</v>
      </c>
      <c r="F5" s="27" t="s">
        <v>43</v>
      </c>
      <c r="G5" s="27" t="s">
        <v>44</v>
      </c>
      <c r="H5" s="27" t="s">
        <v>45</v>
      </c>
      <c r="I5" s="27" t="s">
        <v>46</v>
      </c>
      <c r="J5" s="27" t="s">
        <v>47</v>
      </c>
      <c r="K5" s="27" t="s">
        <v>48</v>
      </c>
      <c r="L5" s="27" t="s">
        <v>49</v>
      </c>
      <c r="M5" s="27" t="s">
        <v>50</v>
      </c>
      <c r="N5" s="27" t="s">
        <v>51</v>
      </c>
      <c r="O5" s="27" t="s">
        <v>21</v>
      </c>
      <c r="P5" s="27" t="s">
        <v>27</v>
      </c>
      <c r="Q5" s="27" t="s">
        <v>35</v>
      </c>
      <c r="R5" s="27" t="s">
        <v>52</v>
      </c>
      <c r="S5" s="27" t="s">
        <v>53</v>
      </c>
      <c r="T5" s="27" t="s">
        <v>54</v>
      </c>
      <c r="U5" s="27" t="s">
        <v>55</v>
      </c>
    </row>
    <row r="6" customFormat="false" ht="26.25" hidden="false" customHeight="true" outlineLevel="0" collapsed="false">
      <c r="A6" s="28" t="s">
        <v>56</v>
      </c>
      <c r="B6" s="28" t="s">
        <v>57</v>
      </c>
      <c r="C6" s="28" t="s">
        <v>58</v>
      </c>
      <c r="D6" s="29" t="n">
        <v>4500000</v>
      </c>
      <c r="E6" s="29" t="n">
        <v>3200000</v>
      </c>
      <c r="F6" s="29" t="n">
        <f aca="false">D6-E6</f>
        <v>1300000</v>
      </c>
      <c r="G6" s="30" t="n">
        <f aca="false">E6/D6</f>
        <v>0.711111111111111</v>
      </c>
      <c r="H6" s="30" t="n">
        <f aca="false">F6/D6</f>
        <v>0.288888888888889</v>
      </c>
      <c r="I6" s="31" t="n">
        <v>45748</v>
      </c>
      <c r="J6" s="31" t="n">
        <v>46477</v>
      </c>
      <c r="K6" s="32" t="n">
        <f aca="true">J6-TODAY()</f>
        <v>266</v>
      </c>
      <c r="L6" s="30" t="n">
        <f aca="true">MIN(1,MAX(0,(TODAY()-I6)/(J6-I6)))</f>
        <v>0.635116598079561</v>
      </c>
      <c r="M6" s="29" t="n">
        <f aca="false">D6*L6</f>
        <v>2858024.69135802</v>
      </c>
      <c r="N6" s="33" t="n">
        <f aca="false">IF(M6=0,0,(E6-M6)/M6)</f>
        <v>0.119654427645788</v>
      </c>
      <c r="O6" s="34" t="s">
        <v>23</v>
      </c>
      <c r="P6" s="34" t="s">
        <v>28</v>
      </c>
      <c r="Q6" s="31" t="n">
        <v>46242</v>
      </c>
      <c r="R6" s="28" t="str">
        <f aca="true">IF(O6="Completed","✅ Final report submitted",IF((Q6-TODAY())&lt;0,"🔴 Overdue by "&amp;ABS(Q6-TODAY())&amp;" days",IF((Q6-TODAY())&lt;=10,"🟡 Due in "&amp;(Q6-TODAY())&amp;" days","🟢 "&amp;(Q6-TODAY())&amp;" days remaining")))</f>
        <v>🟢 31 days remaining</v>
      </c>
      <c r="S6" s="35" t="n">
        <f aca="true">100-IF(O6="Delayed",20,IF(O6="Needs Attention",10,0))-IF(P6="Medium",15,IF(P6="High",30,0))-IF(AND(O6&lt;&gt;"Completed",(Q6-TODAY())&lt;0),20,0)</f>
        <v>100</v>
      </c>
      <c r="T6" s="34" t="str">
        <f aca="false">IF(S6&gt;=80,"🟢 Green",IF(S6&gt;=50,"🟡 Amber","🔴 Red"))</f>
        <v>🟢 Green</v>
      </c>
      <c r="U6" s="36" t="s">
        <v>59</v>
      </c>
    </row>
    <row r="7" customFormat="false" ht="39" hidden="false" customHeight="true" outlineLevel="0" collapsed="false">
      <c r="A7" s="28" t="s">
        <v>60</v>
      </c>
      <c r="B7" s="28" t="s">
        <v>61</v>
      </c>
      <c r="C7" s="28" t="s">
        <v>62</v>
      </c>
      <c r="D7" s="29" t="n">
        <v>6800000</v>
      </c>
      <c r="E7" s="29" t="n">
        <v>2100000</v>
      </c>
      <c r="F7" s="29" t="n">
        <f aca="false">D7-E7</f>
        <v>4700000</v>
      </c>
      <c r="G7" s="30" t="n">
        <f aca="false">E7/D7</f>
        <v>0.308823529411765</v>
      </c>
      <c r="H7" s="30" t="n">
        <f aca="false">F7/D7</f>
        <v>0.691176470588235</v>
      </c>
      <c r="I7" s="31" t="n">
        <v>45809</v>
      </c>
      <c r="J7" s="31" t="n">
        <v>46356</v>
      </c>
      <c r="K7" s="32" t="n">
        <f aca="true">J7-TODAY()</f>
        <v>145</v>
      </c>
      <c r="L7" s="30" t="n">
        <f aca="true">MIN(1,MAX(0,(TODAY()-I7)/(J7-I7)))</f>
        <v>0.73491773308958</v>
      </c>
      <c r="M7" s="29" t="n">
        <f aca="false">D7*L7</f>
        <v>4997440.58500914</v>
      </c>
      <c r="N7" s="33" t="n">
        <f aca="false">IF(M7=0,0,(E7-M7)/M7)</f>
        <v>-0.579784899034241</v>
      </c>
      <c r="O7" s="34" t="s">
        <v>24</v>
      </c>
      <c r="P7" s="34" t="s">
        <v>29</v>
      </c>
      <c r="Q7" s="31" t="n">
        <v>46220</v>
      </c>
      <c r="R7" s="28" t="str">
        <f aca="true">IF(O7="Completed","✅ Final report submitted",IF((Q7-TODAY())&lt;0,"🔴 Overdue by "&amp;ABS(Q7-TODAY())&amp;" days",IF((Q7-TODAY())&lt;=10,"🟡 Due in "&amp;(Q7-TODAY())&amp;" days","🟢 "&amp;(Q7-TODAY())&amp;" days remaining")))</f>
        <v>🟡 Due in 9 days</v>
      </c>
      <c r="S7" s="35" t="n">
        <f aca="true">100-IF(O7="Delayed",20,IF(O7="Needs Attention",10,0))-IF(P7="Medium",15,IF(P7="High",30,0))-IF(AND(O7&lt;&gt;"Completed",(Q7-TODAY())&lt;0),20,0)</f>
        <v>75</v>
      </c>
      <c r="T7" s="34" t="str">
        <f aca="false">IF(S7&gt;=80,"🟢 Green",IF(S7&gt;=50,"🟡 Amber","🔴 Red"))</f>
        <v>🟡 Amber</v>
      </c>
      <c r="U7" s="36" t="s">
        <v>63</v>
      </c>
    </row>
    <row r="8" customFormat="false" ht="26.25" hidden="false" customHeight="true" outlineLevel="0" collapsed="false">
      <c r="A8" s="28" t="s">
        <v>64</v>
      </c>
      <c r="B8" s="28" t="s">
        <v>65</v>
      </c>
      <c r="C8" s="28" t="s">
        <v>66</v>
      </c>
      <c r="D8" s="29" t="n">
        <v>1800000</v>
      </c>
      <c r="E8" s="29" t="n">
        <v>1800000</v>
      </c>
      <c r="F8" s="29" t="n">
        <f aca="false">D8-E8</f>
        <v>0</v>
      </c>
      <c r="G8" s="30" t="n">
        <f aca="false">E8/D8</f>
        <v>1</v>
      </c>
      <c r="H8" s="30" t="n">
        <f aca="false">F8/D8</f>
        <v>0</v>
      </c>
      <c r="I8" s="31" t="n">
        <v>45658</v>
      </c>
      <c r="J8" s="31" t="n">
        <v>46203</v>
      </c>
      <c r="K8" s="32" t="n">
        <f aca="true">J8-TODAY()</f>
        <v>-8</v>
      </c>
      <c r="L8" s="30" t="n">
        <f aca="true">MIN(1,MAX(0,(TODAY()-I8)/(J8-I8)))</f>
        <v>1</v>
      </c>
      <c r="M8" s="29" t="n">
        <f aca="false">D8*L8</f>
        <v>1800000</v>
      </c>
      <c r="N8" s="33" t="n">
        <f aca="false">IF(M8=0,0,(E8-M8)/M8)</f>
        <v>0</v>
      </c>
      <c r="O8" s="34" t="s">
        <v>25</v>
      </c>
      <c r="P8" s="34" t="s">
        <v>28</v>
      </c>
      <c r="Q8" s="31" t="n">
        <v>46213</v>
      </c>
      <c r="R8" s="28" t="str">
        <f aca="true">IF(O8="Completed","✅ Final report submitted",IF((Q8-TODAY())&lt;0,"🔴 Overdue by "&amp;ABS(Q8-TODAY())&amp;" days",IF((Q8-TODAY())&lt;=10,"🟡 Due in "&amp;(Q8-TODAY())&amp;" days","🟢 "&amp;(Q8-TODAY())&amp;" days remaining")))</f>
        <v>✅ Final report submitted</v>
      </c>
      <c r="S8" s="35" t="n">
        <f aca="true">100-IF(O8="Delayed",20,IF(O8="Needs Attention",10,0))-IF(P8="Medium",15,IF(P8="High",30,0))-IF(AND(O8&lt;&gt;"Completed",(Q8-TODAY())&lt;0),20,0)</f>
        <v>100</v>
      </c>
      <c r="T8" s="34" t="str">
        <f aca="false">IF(S8&gt;=80,"🟢 Green",IF(S8&gt;=50,"🟡 Amber","🔴 Red"))</f>
        <v>🟢 Green</v>
      </c>
      <c r="U8" s="36" t="s">
        <v>67</v>
      </c>
    </row>
    <row r="9" customFormat="false" ht="26.25" hidden="false" customHeight="true" outlineLevel="0" collapsed="false">
      <c r="A9" s="28" t="s">
        <v>68</v>
      </c>
      <c r="B9" s="28" t="s">
        <v>69</v>
      </c>
      <c r="C9" s="28" t="s">
        <v>70</v>
      </c>
      <c r="D9" s="29" t="n">
        <v>2900000</v>
      </c>
      <c r="E9" s="29" t="n">
        <v>950000</v>
      </c>
      <c r="F9" s="29" t="n">
        <f aca="false">D9-E9</f>
        <v>1950000</v>
      </c>
      <c r="G9" s="30" t="n">
        <f aca="false">E9/D9</f>
        <v>0.327586206896552</v>
      </c>
      <c r="H9" s="30" t="n">
        <f aca="false">F9/D9</f>
        <v>0.672413793103448</v>
      </c>
      <c r="I9" s="31" t="n">
        <v>45901</v>
      </c>
      <c r="J9" s="31" t="n">
        <v>46446</v>
      </c>
      <c r="K9" s="32" t="n">
        <f aca="true">J9-TODAY()</f>
        <v>235</v>
      </c>
      <c r="L9" s="30" t="n">
        <f aca="true">MIN(1,MAX(0,(TODAY()-I9)/(J9-I9)))</f>
        <v>0.568807339449541</v>
      </c>
      <c r="M9" s="29" t="n">
        <f aca="false">D9*L9</f>
        <v>1649541.28440367</v>
      </c>
      <c r="N9" s="33" t="n">
        <f aca="false">IF(M9=0,0,(E9-M9)/M9)</f>
        <v>-0.424082313681869</v>
      </c>
      <c r="O9" s="34" t="s">
        <v>23</v>
      </c>
      <c r="P9" s="34" t="s">
        <v>28</v>
      </c>
      <c r="Q9" s="31" t="n">
        <v>46270</v>
      </c>
      <c r="R9" s="28" t="str">
        <f aca="true">IF(O9="Completed","✅ Final report submitted",IF((Q9-TODAY())&lt;0,"🔴 Overdue by "&amp;ABS(Q9-TODAY())&amp;" days",IF((Q9-TODAY())&lt;=10,"🟡 Due in "&amp;(Q9-TODAY())&amp;" days","🟢 "&amp;(Q9-TODAY())&amp;" days remaining")))</f>
        <v>🟢 59 days remaining</v>
      </c>
      <c r="S9" s="35" t="n">
        <f aca="true">100-IF(O9="Delayed",20,IF(O9="Needs Attention",10,0))-IF(P9="Medium",15,IF(P9="High",30,0))-IF(AND(O9&lt;&gt;"Completed",(Q9-TODAY())&lt;0),20,0)</f>
        <v>100</v>
      </c>
      <c r="T9" s="34" t="str">
        <f aca="false">IF(S9&gt;=80,"🟢 Green",IF(S9&gt;=50,"🟡 Amber","🔴 Red"))</f>
        <v>🟢 Green</v>
      </c>
      <c r="U9" s="36" t="s">
        <v>71</v>
      </c>
    </row>
    <row r="10" customFormat="false" ht="39" hidden="false" customHeight="true" outlineLevel="0" collapsed="false">
      <c r="A10" s="28" t="s">
        <v>72</v>
      </c>
      <c r="B10" s="28" t="s">
        <v>73</v>
      </c>
      <c r="C10" s="28" t="s">
        <v>74</v>
      </c>
      <c r="D10" s="29" t="n">
        <v>1200000</v>
      </c>
      <c r="E10" s="29" t="n">
        <v>40000</v>
      </c>
      <c r="F10" s="29" t="n">
        <f aca="false">D10-E10</f>
        <v>1160000</v>
      </c>
      <c r="G10" s="30" t="n">
        <f aca="false">E10/D10</f>
        <v>0.0333333333333333</v>
      </c>
      <c r="H10" s="30" t="n">
        <f aca="false">F10/D10</f>
        <v>0.966666666666667</v>
      </c>
      <c r="I10" s="31" t="n">
        <v>45931</v>
      </c>
      <c r="J10" s="31" t="n">
        <v>46295</v>
      </c>
      <c r="K10" s="32" t="n">
        <f aca="true">J10-TODAY()</f>
        <v>84</v>
      </c>
      <c r="L10" s="30" t="n">
        <f aca="true">MIN(1,MAX(0,(TODAY()-I10)/(J10-I10)))</f>
        <v>0.769230769230769</v>
      </c>
      <c r="M10" s="29" t="n">
        <f aca="false">D10*L10</f>
        <v>923076.923076923</v>
      </c>
      <c r="N10" s="33" t="n">
        <f aca="false">IF(M10=0,0,(E10-M10)/M10)</f>
        <v>-0.956666666666667</v>
      </c>
      <c r="O10" s="34" t="s">
        <v>26</v>
      </c>
      <c r="P10" s="34" t="s">
        <v>30</v>
      </c>
      <c r="Q10" s="31" t="n">
        <v>46205</v>
      </c>
      <c r="R10" s="28" t="str">
        <f aca="true">IF(O10="Completed","✅ Final report submitted",IF((Q10-TODAY())&lt;0,"🔴 Overdue by "&amp;ABS(Q10-TODAY())&amp;" days",IF((Q10-TODAY())&lt;=10,"🟡 Due in "&amp;(Q10-TODAY())&amp;" days","🟢 "&amp;(Q10-TODAY())&amp;" days remaining")))</f>
        <v>🔴 Overdue by 6 days</v>
      </c>
      <c r="S10" s="35" t="n">
        <f aca="true">100-IF(O10="Delayed",20,IF(O10="Needs Attention",10,0))-IF(P10="Medium",15,IF(P10="High",30,0))-IF(AND(O10&lt;&gt;"Completed",(Q10-TODAY())&lt;0),20,0)</f>
        <v>30</v>
      </c>
      <c r="T10" s="34" t="str">
        <f aca="false">IF(S10&gt;=80,"🟢 Green",IF(S10&gt;=50,"🟡 Amber","🔴 Red"))</f>
        <v>🔴 Red</v>
      </c>
      <c r="U10" s="36" t="s">
        <v>75</v>
      </c>
    </row>
    <row r="11" customFormat="false" ht="15" hidden="false" customHeight="true" outlineLevel="0" collapsed="false">
      <c r="A11" s="37" t="s">
        <v>76</v>
      </c>
      <c r="B11" s="38"/>
      <c r="C11" s="38"/>
      <c r="D11" s="39" t="n">
        <f aca="false">SUM(D6:D10)</f>
        <v>17200000</v>
      </c>
      <c r="E11" s="39" t="n">
        <f aca="false">SUM(E6:E10)</f>
        <v>8090000</v>
      </c>
      <c r="F11" s="39" t="n">
        <f aca="false">SUM(F6:F10)</f>
        <v>9110000</v>
      </c>
      <c r="G11" s="40" t="n">
        <f aca="false">E11/D11</f>
        <v>0.470348837209302</v>
      </c>
      <c r="H11" s="40" t="n">
        <f aca="false">F11/D11</f>
        <v>0.529651162790698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</row>
  </sheetData>
  <mergeCells count="2">
    <mergeCell ref="A1:U1"/>
    <mergeCell ref="A2:U2"/>
  </mergeCells>
  <conditionalFormatting sqref="O6:O10">
    <cfRule type="cellIs" priority="2" operator="equal" aboveAverage="0" equalAverage="0" bottom="0" percent="0" rank="0" text="" dxfId="13">
      <formula>"On Track"</formula>
    </cfRule>
    <cfRule type="cellIs" priority="3" operator="equal" aboveAverage="0" equalAverage="0" bottom="0" percent="0" rank="0" text="" dxfId="13">
      <formula>"Completed"</formula>
    </cfRule>
    <cfRule type="cellIs" priority="4" operator="equal" aboveAverage="0" equalAverage="0" bottom="0" percent="0" rank="0" text="" dxfId="14">
      <formula>"Needs Attention"</formula>
    </cfRule>
    <cfRule type="cellIs" priority="5" operator="equal" aboveAverage="0" equalAverage="0" bottom="0" percent="0" rank="0" text="" dxfId="15">
      <formula>"Delayed"</formula>
    </cfRule>
  </conditionalFormatting>
  <conditionalFormatting sqref="P6:P10">
    <cfRule type="cellIs" priority="6" operator="equal" aboveAverage="0" equalAverage="0" bottom="0" percent="0" rank="0" text="" dxfId="13">
      <formula>"Low"</formula>
    </cfRule>
    <cfRule type="cellIs" priority="7" operator="equal" aboveAverage="0" equalAverage="0" bottom="0" percent="0" rank="0" text="" dxfId="14">
      <formula>"Medium"</formula>
    </cfRule>
    <cfRule type="cellIs" priority="8" operator="equal" aboveAverage="0" equalAverage="0" bottom="0" percent="0" rank="0" text="" dxfId="15">
      <formula>"High"</formula>
    </cfRule>
  </conditionalFormatting>
  <conditionalFormatting sqref="G6:G10">
    <cfRule type="colorScale" priority="9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S6:S10">
    <cfRule type="colorScale" priority="10">
      <colorScale>
        <cfvo type="num" val="0"/>
        <cfvo type="num" val="65"/>
        <cfvo type="num" val="100"/>
        <color rgb="FFFFC7CE"/>
        <color rgb="FFFFEB9C"/>
        <color rgb="FFC6EFCE"/>
      </colorScale>
    </cfRule>
  </conditionalFormatting>
  <dataValidations count="2">
    <dataValidation allowBlank="false" errorStyle="stop" operator="between" showDropDown="false" showErrorMessage="false" showInputMessage="false" sqref="O6:O10" type="list">
      <formula1>"On Track,Needs Attention,Completed,Delayed"</formula1>
      <formula2>0</formula2>
    </dataValidation>
    <dataValidation allowBlank="false" errorStyle="stop" operator="between" showDropDown="false" showErrorMessage="false" showInputMessage="false" sqref="P6:P10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5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9" min="7" style="1" width="16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4" min="13" style="1" width="30"/>
  </cols>
  <sheetData>
    <row r="1" customFormat="false" ht="17.25" hidden="false" customHeight="true" outlineLevel="0" collapsed="false">
      <c r="A1" s="26" t="s">
        <v>77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15" hidden="false" customHeight="true" outlineLevel="0" collapsed="false">
      <c r="A2" s="3" t="s">
        <v>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32.25" hidden="false" customHeight="true" outlineLevel="0" collapsed="false">
      <c r="A4" s="27" t="s">
        <v>38</v>
      </c>
      <c r="B4" s="27" t="s">
        <v>79</v>
      </c>
      <c r="C4" s="27" t="s">
        <v>80</v>
      </c>
      <c r="D4" s="27" t="s">
        <v>81</v>
      </c>
      <c r="E4" s="27" t="s">
        <v>82</v>
      </c>
      <c r="F4" s="27" t="s">
        <v>83</v>
      </c>
      <c r="G4" s="27" t="s">
        <v>84</v>
      </c>
      <c r="H4" s="27" t="s">
        <v>85</v>
      </c>
      <c r="I4" s="27" t="s">
        <v>86</v>
      </c>
      <c r="J4" s="27" t="s">
        <v>87</v>
      </c>
      <c r="K4" s="27" t="s">
        <v>88</v>
      </c>
      <c r="L4" s="27" t="s">
        <v>89</v>
      </c>
      <c r="M4" s="27" t="s">
        <v>90</v>
      </c>
      <c r="N4" s="27" t="s">
        <v>91</v>
      </c>
    </row>
    <row r="5" customFormat="false" ht="15" hidden="false" customHeight="true" outlineLevel="0" collapsed="false">
      <c r="A5" s="41" t="s">
        <v>56</v>
      </c>
      <c r="B5" s="31" t="n">
        <v>46174</v>
      </c>
      <c r="C5" s="31" t="n">
        <v>46183</v>
      </c>
      <c r="D5" s="41" t="s">
        <v>92</v>
      </c>
      <c r="E5" s="41" t="s">
        <v>93</v>
      </c>
      <c r="F5" s="31" t="n">
        <v>46191</v>
      </c>
      <c r="G5" s="42" t="n">
        <v>3200000</v>
      </c>
      <c r="H5" s="43" t="n">
        <f aca="false">'Grant Tracker'!E6</f>
        <v>3200000</v>
      </c>
      <c r="I5" s="44" t="n">
        <f aca="false">G5-H5</f>
        <v>0</v>
      </c>
      <c r="J5" s="28" t="n">
        <v>6</v>
      </c>
      <c r="K5" s="28" t="n">
        <v>4</v>
      </c>
      <c r="L5" s="45" t="n">
        <f aca="false">K5/J5</f>
        <v>0.666666666666667</v>
      </c>
      <c r="M5" s="46" t="s">
        <v>94</v>
      </c>
      <c r="N5" s="46" t="s">
        <v>95</v>
      </c>
    </row>
    <row r="6" customFormat="false" ht="15" hidden="false" customHeight="true" outlineLevel="0" collapsed="false">
      <c r="A6" s="41" t="s">
        <v>60</v>
      </c>
      <c r="B6" s="31" t="n">
        <v>46188</v>
      </c>
      <c r="C6" s="31"/>
      <c r="D6" s="41" t="s">
        <v>92</v>
      </c>
      <c r="E6" s="41" t="s">
        <v>92</v>
      </c>
      <c r="F6" s="31"/>
      <c r="G6" s="42" t="n">
        <v>2100000</v>
      </c>
      <c r="H6" s="43" t="n">
        <f aca="false">'Grant Tracker'!E7</f>
        <v>2100000</v>
      </c>
      <c r="I6" s="44" t="n">
        <f aca="false">G6-H6</f>
        <v>0</v>
      </c>
      <c r="J6" s="28" t="n">
        <v>5</v>
      </c>
      <c r="K6" s="28" t="n">
        <v>2</v>
      </c>
      <c r="L6" s="45" t="n">
        <f aca="false">K6/J6</f>
        <v>0.4</v>
      </c>
      <c r="M6" s="46" t="s">
        <v>96</v>
      </c>
      <c r="N6" s="46" t="s">
        <v>97</v>
      </c>
    </row>
    <row r="7" customFormat="false" ht="15" hidden="false" customHeight="true" outlineLevel="0" collapsed="false">
      <c r="A7" s="41" t="s">
        <v>64</v>
      </c>
      <c r="B7" s="31" t="n">
        <v>46178</v>
      </c>
      <c r="C7" s="31" t="n">
        <v>46185</v>
      </c>
      <c r="D7" s="41" t="s">
        <v>92</v>
      </c>
      <c r="E7" s="41" t="s">
        <v>93</v>
      </c>
      <c r="F7" s="31" t="n">
        <v>46193</v>
      </c>
      <c r="G7" s="42" t="n">
        <v>1800000</v>
      </c>
      <c r="H7" s="43" t="n">
        <f aca="false">'Grant Tracker'!E8</f>
        <v>1800000</v>
      </c>
      <c r="I7" s="44" t="n">
        <f aca="false">G7-H7</f>
        <v>0</v>
      </c>
      <c r="J7" s="28" t="n">
        <v>4</v>
      </c>
      <c r="K7" s="28" t="n">
        <v>4</v>
      </c>
      <c r="L7" s="45" t="n">
        <f aca="false">K7/J7</f>
        <v>1</v>
      </c>
      <c r="M7" s="46" t="s">
        <v>98</v>
      </c>
      <c r="N7" s="46" t="s">
        <v>99</v>
      </c>
    </row>
    <row r="8" customFormat="false" ht="15" hidden="false" customHeight="true" outlineLevel="0" collapsed="false">
      <c r="A8" s="41" t="s">
        <v>68</v>
      </c>
      <c r="B8" s="31" t="n">
        <v>46193</v>
      </c>
      <c r="C8" s="31" t="n">
        <v>46201</v>
      </c>
      <c r="D8" s="41" t="s">
        <v>92</v>
      </c>
      <c r="E8" s="41" t="s">
        <v>93</v>
      </c>
      <c r="F8" s="31" t="n">
        <v>46205</v>
      </c>
      <c r="G8" s="42" t="n">
        <v>950000</v>
      </c>
      <c r="H8" s="43" t="n">
        <f aca="false">'Grant Tracker'!E9</f>
        <v>950000</v>
      </c>
      <c r="I8" s="44" t="n">
        <f aca="false">G8-H8</f>
        <v>0</v>
      </c>
      <c r="J8" s="28" t="n">
        <v>5</v>
      </c>
      <c r="K8" s="28" t="n">
        <v>2</v>
      </c>
      <c r="L8" s="45" t="n">
        <f aca="false">K8/J8</f>
        <v>0.4</v>
      </c>
      <c r="M8" s="46" t="s">
        <v>100</v>
      </c>
      <c r="N8" s="46" t="s">
        <v>101</v>
      </c>
    </row>
    <row r="9" customFormat="false" ht="15" hidden="false" customHeight="true" outlineLevel="0" collapsed="false">
      <c r="A9" s="41" t="s">
        <v>72</v>
      </c>
      <c r="B9" s="31" t="n">
        <v>46162</v>
      </c>
      <c r="C9" s="31"/>
      <c r="D9" s="41" t="s">
        <v>93</v>
      </c>
      <c r="E9" s="41" t="s">
        <v>92</v>
      </c>
      <c r="F9" s="31"/>
      <c r="G9" s="42" t="n">
        <v>40000</v>
      </c>
      <c r="H9" s="43" t="n">
        <f aca="false">'Grant Tracker'!E10</f>
        <v>40000</v>
      </c>
      <c r="I9" s="44" t="n">
        <f aca="false">G9-H9</f>
        <v>0</v>
      </c>
      <c r="J9" s="28" t="n">
        <v>4</v>
      </c>
      <c r="K9" s="28" t="n">
        <v>1</v>
      </c>
      <c r="L9" s="45" t="n">
        <f aca="false">K9/J9</f>
        <v>0.25</v>
      </c>
      <c r="M9" s="46" t="s">
        <v>102</v>
      </c>
      <c r="N9" s="46" t="s">
        <v>103</v>
      </c>
    </row>
  </sheetData>
  <mergeCells count="2">
    <mergeCell ref="A1:N1"/>
    <mergeCell ref="A2:N2"/>
  </mergeCells>
  <conditionalFormatting sqref="I5:I9">
    <cfRule type="cellIs" priority="2" operator="notEqual" aboveAverage="0" equalAverage="0" bottom="0" percent="0" rank="0" text="" dxfId="1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2026-07-08T08:48:57Z</dcterms:created>
  <dc:creator>openpyxl</dc:creator>
  <dc:description/>
  <dc:language>en-US</dc:language>
  <cp:lastModifiedBy/>
  <dcterms:modified xsi:type="dcterms:W3CDTF">2026-07-08T09:01:31Z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