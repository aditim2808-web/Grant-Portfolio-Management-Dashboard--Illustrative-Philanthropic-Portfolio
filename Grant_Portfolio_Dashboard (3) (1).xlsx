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Dashboard" sheetId="2" r:id="rId6"/>
    <sheet state="visible" name="Grant Tracker" sheetId="3" r:id="rId7"/>
    <sheet state="visible" name="Finance &amp; Deliverables" sheetId="4" r:id="rId8"/>
  </sheets>
  <definedNames/>
  <calcPr/>
</workbook>
</file>

<file path=xl/sharedStrings.xml><?xml version="1.0" encoding="utf-8"?>
<sst xmlns="http://schemas.openxmlformats.org/spreadsheetml/2006/main" count="135" uniqueCount="104">
  <si>
    <t>Grant Portfolio — Executive Summary</t>
  </si>
  <si>
    <t>Illustrative portfolio for demonstration purposes | Clean Air Fund India — sample analyst tracker</t>
  </si>
  <si>
    <t>Key Figures</t>
  </si>
  <si>
    <t>Portfolio Value</t>
  </si>
  <si>
    <t>Total Disbursed</t>
  </si>
  <si>
    <t>Overall Utilisation</t>
  </si>
  <si>
    <t>Active Grants</t>
  </si>
  <si>
    <t>High-Risk Grants</t>
  </si>
  <si>
    <t>Reports Due &lt;30 Days</t>
  </si>
  <si>
    <t>Portfolio Dashboard</t>
  </si>
  <si>
    <t>Clean Air Fund India — Illustrative Grant Portfolio</t>
  </si>
  <si>
    <t>PORTFOLIO VALUE</t>
  </si>
  <si>
    <t>TOTAL DISBURSED</t>
  </si>
  <si>
    <t>UTILISATION</t>
  </si>
  <si>
    <t>ACTIVE GRANTS</t>
  </si>
  <si>
    <t>HIGH-RISK GRANTS</t>
  </si>
  <si>
    <t>Chart Data (auto-calculated — do not delete)</t>
  </si>
  <si>
    <t>Grant</t>
  </si>
  <si>
    <t>Total Budget</t>
  </si>
  <si>
    <t>Disbursed</t>
  </si>
  <si>
    <t>Utilisation %</t>
  </si>
  <si>
    <t>Status</t>
  </si>
  <si>
    <t>Count</t>
  </si>
  <si>
    <t>On Track</t>
  </si>
  <si>
    <t>Needs Attention</t>
  </si>
  <si>
    <t>Completed</t>
  </si>
  <si>
    <t>Delayed</t>
  </si>
  <si>
    <t>Risk</t>
  </si>
  <si>
    <t>Low</t>
  </si>
  <si>
    <t>Medium</t>
  </si>
  <si>
    <t>High</t>
  </si>
  <si>
    <t>Grant Health Score</t>
  </si>
  <si>
    <t>Score</t>
  </si>
  <si>
    <t>Rating</t>
  </si>
  <si>
    <t>Reporting Calendar</t>
  </si>
  <si>
    <t>Reporting Due</t>
  </si>
  <si>
    <t>Grant Tracker — Clean Air Fund India Portfolio (Illustrative)</t>
  </si>
  <si>
    <t>Note: All figures are illustrative and for demonstration purposes only, based on publicly available information about CAF's India portfolio areas.</t>
  </si>
  <si>
    <t>Grant Name</t>
  </si>
  <si>
    <t>Partner</t>
  </si>
  <si>
    <t>Focus</t>
  </si>
  <si>
    <t>Total Budget (INR)</t>
  </si>
  <si>
    <t>Disbursed (INR)</t>
  </si>
  <si>
    <t>Remaining (INR)</t>
  </si>
  <si>
    <t>% Utilised</t>
  </si>
  <si>
    <t>Budget Remaining %</t>
  </si>
  <si>
    <t>Start Date</t>
  </si>
  <si>
    <t>End Date</t>
  </si>
  <si>
    <t>Days Remaining</t>
  </si>
  <si>
    <t>Progress %</t>
  </si>
  <si>
    <t>Planned Disbursement</t>
  </si>
  <si>
    <t>Variance %</t>
  </si>
  <si>
    <t>Reporting Status</t>
  </si>
  <si>
    <t>Health Score</t>
  </si>
  <si>
    <t>Health Rating</t>
  </si>
  <si>
    <t>Action Required</t>
  </si>
  <si>
    <t>Air Quality Monitoring</t>
  </si>
  <si>
    <t>Research Institute</t>
  </si>
  <si>
    <t>Data and Modelling</t>
  </si>
  <si>
    <t>None — on schedule, monitor next milestone</t>
  </si>
  <si>
    <t>City Emissions Programme</t>
  </si>
  <si>
    <t>State Pollution Control Board</t>
  </si>
  <si>
    <t>Regulatory Implementation</t>
  </si>
  <si>
    <t>Follow up with partner on procurement delays; request revised disbursement timeline</t>
  </si>
  <si>
    <t>CEO Clean Air Initiative</t>
  </si>
  <si>
    <t>Civil Society Organisation</t>
  </si>
  <si>
    <t>Stakeholder Engagement</t>
  </si>
  <si>
    <t>Close out grant file; archive final report</t>
  </si>
  <si>
    <t>Clean Air &amp; Health Project</t>
  </si>
  <si>
    <t>Public Health Foundation</t>
  </si>
  <si>
    <t>Health Impact</t>
  </si>
  <si>
    <t>None — early implementation phase, on pace</t>
  </si>
  <si>
    <t>Community Awareness Campaign</t>
  </si>
  <si>
    <t>Urban Local Body</t>
  </si>
  <si>
    <t>Citizen Engagement</t>
  </si>
  <si>
    <t>Urgent check-in call; missed milestone, request cause and revised plan</t>
  </si>
  <si>
    <t>Total / Portfolio</t>
  </si>
  <si>
    <t>Finance &amp; Deliverables Tracker</t>
  </si>
  <si>
    <t>Note: Illustrative payment and deliverable records, linked to Grant Tracker figures.</t>
  </si>
  <si>
    <t>Payment Request Submitted</t>
  </si>
  <si>
    <t>Payment Approved</t>
  </si>
  <si>
    <t>Invoice Received</t>
  </si>
  <si>
    <t>Invoice Pending</t>
  </si>
  <si>
    <t>Payment Date</t>
  </si>
  <si>
    <t>Actual Payment (INR)</t>
  </si>
  <si>
    <t>Expected Payment (INR)</t>
  </si>
  <si>
    <t>Payment Variance (INR)</t>
  </si>
  <si>
    <t>Deliverables Planned</t>
  </si>
  <si>
    <t>Deliverables Completed</t>
  </si>
  <si>
    <t>Completion %</t>
  </si>
  <si>
    <t>Milestones Achieved</t>
  </si>
  <si>
    <t>Next Milestone</t>
  </si>
  <si>
    <t>Yes</t>
  </si>
  <si>
    <t>No</t>
  </si>
  <si>
    <t>Sensor network live in 3 cities</t>
  </si>
  <si>
    <t>Mid-term data validation report</t>
  </si>
  <si>
    <t>Baseline emissions inventory</t>
  </si>
  <si>
    <t>Draft state implementation roadmap</t>
  </si>
  <si>
    <t>All CEO roundtables completed</t>
  </si>
  <si>
    <t>Final report submitted</t>
  </si>
  <si>
    <t>Health impact baseline survey</t>
  </si>
  <si>
    <t>Household exposure pilot results</t>
  </si>
  <si>
    <t>Campaign launch event</t>
  </si>
  <si>
    <t>Revised outreach plan (overdue)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</si>
</sst>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₹#,##0"/>
    <numFmt numFmtId="165" formatCode="0.0%"/>
    <numFmt numFmtId="166" formatCode="\₹#,##0,,\L"/>
    <numFmt numFmtId="167" formatCode="#,##0;\(#,##0\);\-"/>
    <numFmt numFmtId="168" formatCode="dd\-mmm\-yyyy"/>
    <numFmt numFmtId="169" formatCode="#,##0&quot; days&quot;"/>
    <numFmt numFmtId="170" formatCode="0.0%;\(0.0%\);\-"/>
  </numFmts>
  <fonts count="20">
    <font>
      <sz val="11.0"/>
      <color theme="1"/>
      <name val="Calibri"/>
      <scheme val="minor"/>
    </font>
    <font>
      <b/>
      <sz val="18.0"/>
      <color rgb="FF000000"/>
      <name val="Arial"/>
    </font>
    <font>
      <i/>
      <sz val="9.0"/>
      <color rgb="FF808080"/>
      <name val="Arial"/>
    </font>
    <font>
      <sz val="11.0"/>
      <color theme="1"/>
      <name val="Calibri"/>
    </font>
    <font>
      <sz val="12.0"/>
      <color rgb="FF000000"/>
      <name val="Arial"/>
    </font>
    <font/>
    <font>
      <b/>
      <sz val="12.0"/>
      <color rgb="FF000000"/>
      <name val="Arial"/>
    </font>
    <font>
      <b/>
      <sz val="11.0"/>
      <color rgb="FF000000"/>
      <name val="Arial"/>
    </font>
    <font>
      <b/>
      <sz val="20.0"/>
      <color rgb="FF000000"/>
      <name val="Arial"/>
    </font>
    <font>
      <i/>
      <sz val="10.0"/>
      <color rgb="FF808080"/>
      <name val="Arial"/>
    </font>
    <font>
      <b/>
      <sz val="9.0"/>
      <color rgb="FFFFFFFF"/>
      <name val="Arial"/>
    </font>
    <font>
      <b/>
      <sz val="22.0"/>
      <color rgb="FF000000"/>
      <name val="Arial"/>
    </font>
    <font>
      <i/>
      <sz val="8.0"/>
      <color rgb="FFA6A6A6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4">
    <border/>
    <border>
      <left style="medium">
        <color rgb="FF000000"/>
      </left>
      <top/>
    </border>
    <border>
      <top/>
    </border>
    <border>
      <right/>
      <top/>
    </border>
    <border>
      <left style="medium">
        <color rgb="FF000000"/>
      </left>
    </border>
    <border>
      <right/>
    </border>
    <border>
      <left style="medium">
        <color rgb="FF000000"/>
      </left>
      <bottom/>
    </border>
    <border>
      <bottom/>
    </border>
    <border>
      <right/>
      <bottom/>
    </border>
    <border>
      <bottom style="thin">
        <color rgb="FFD9D9D9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/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6" numFmtId="0" xfId="0" applyAlignment="1" applyFont="1">
      <alignment shrinkToFit="0" vertical="bottom" wrapText="0"/>
    </xf>
    <xf borderId="9" fillId="0" fontId="7" numFmtId="0" xfId="0" applyAlignment="1" applyBorder="1" applyFont="1">
      <alignment shrinkToFit="0" vertical="bottom" wrapText="0"/>
    </xf>
    <xf borderId="9" fillId="0" fontId="6" numFmtId="164" xfId="0" applyAlignment="1" applyBorder="1" applyFont="1" applyNumberFormat="1">
      <alignment shrinkToFit="0" vertical="bottom" wrapText="0"/>
    </xf>
    <xf borderId="9" fillId="0" fontId="6" numFmtId="165" xfId="0" applyAlignment="1" applyBorder="1" applyFont="1" applyNumberFormat="1">
      <alignment shrinkToFit="0" vertical="bottom" wrapText="0"/>
    </xf>
    <xf borderId="9" fillId="0" fontId="6" numFmtId="1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0" fillId="3" fontId="10" numFmtId="0" xfId="0" applyAlignment="1" applyBorder="1" applyFill="1" applyFont="1">
      <alignment horizontal="center" shrinkToFit="0" vertical="center" wrapText="0"/>
    </xf>
    <xf borderId="11" fillId="0" fontId="5" numFmtId="0" xfId="0" applyBorder="1" applyFont="1"/>
    <xf borderId="1" fillId="2" fontId="11" numFmtId="166" xfId="0" applyAlignment="1" applyBorder="1" applyFont="1" applyNumberFormat="1">
      <alignment horizontal="center" shrinkToFit="0" vertical="center" wrapText="0"/>
    </xf>
    <xf borderId="1" fillId="2" fontId="11" numFmtId="165" xfId="0" applyAlignment="1" applyBorder="1" applyFont="1" applyNumberFormat="1">
      <alignment horizontal="center" shrinkToFit="0" vertical="center" wrapText="0"/>
    </xf>
    <xf borderId="1" fillId="2" fontId="11" numFmtId="1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7" xfId="0" applyAlignment="1" applyFont="1" applyNumberFormat="1">
      <alignment shrinkToFit="0" vertical="bottom" wrapText="0"/>
    </xf>
    <xf borderId="0" fillId="0" fontId="14" numFmtId="9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2" fillId="3" fontId="10" numFmtId="0" xfId="0" applyAlignment="1" applyBorder="1" applyFont="1">
      <alignment shrinkToFit="0" vertical="bottom" wrapText="0"/>
    </xf>
    <xf borderId="0" fillId="0" fontId="15" numFmtId="1" xfId="0" applyAlignment="1" applyFont="1" applyNumberForma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168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12" fillId="3" fontId="1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shrinkToFit="0" vertical="bottom" wrapText="0"/>
    </xf>
    <xf borderId="0" fillId="0" fontId="17" numFmtId="165" xfId="0" applyAlignment="1" applyFont="1" applyNumberFormat="1">
      <alignment shrinkToFit="0" vertical="bottom" wrapText="0"/>
    </xf>
    <xf borderId="0" fillId="0" fontId="17" numFmtId="168" xfId="0" applyAlignment="1" applyFont="1" applyNumberFormat="1">
      <alignment shrinkToFit="0" vertical="bottom" wrapText="0"/>
    </xf>
    <xf borderId="0" fillId="0" fontId="17" numFmtId="169" xfId="0" applyAlignment="1" applyFont="1" applyNumberFormat="1">
      <alignment shrinkToFit="0" vertical="bottom" wrapText="0"/>
    </xf>
    <xf borderId="0" fillId="0" fontId="17" numFmtId="170" xfId="0" applyAlignment="1" applyFont="1" applyNumberForma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top" wrapText="1"/>
    </xf>
    <xf borderId="13" fillId="4" fontId="7" numFmtId="0" xfId="0" applyAlignment="1" applyBorder="1" applyFill="1" applyFont="1">
      <alignment shrinkToFit="0" vertical="bottom" wrapText="0"/>
    </xf>
    <xf borderId="13" fillId="4" fontId="3" numFmtId="0" xfId="0" applyAlignment="1" applyBorder="1" applyFont="1">
      <alignment shrinkToFit="0" vertical="bottom" wrapText="0"/>
    </xf>
    <xf borderId="13" fillId="4" fontId="7" numFmtId="3" xfId="0" applyAlignment="1" applyBorder="1" applyFont="1" applyNumberFormat="1">
      <alignment shrinkToFit="0" vertical="bottom" wrapText="0"/>
    </xf>
    <xf borderId="13" fillId="4" fontId="7" numFmtId="165" xfId="0" applyAlignment="1" applyBorder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18" numFmtId="3" xfId="0" applyAlignment="1" applyFont="1" applyNumberFormat="1">
      <alignment shrinkToFit="0" vertical="bottom" wrapText="0"/>
    </xf>
    <xf borderId="0" fillId="0" fontId="18" numFmtId="167" xfId="0" applyAlignment="1" applyFont="1" applyNumberFormat="1">
      <alignment shrinkToFit="0" vertical="bottom" wrapText="0"/>
    </xf>
    <xf borderId="0" fillId="0" fontId="18" numFmtId="9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top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Budget vs Disbursed by Grant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Budget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Dashboard!$A$11:$A$15</c:f>
            </c:strRef>
          </c:cat>
          <c:val>
            <c:numRef>
              <c:f>Dashboard!$B$11:$B$15</c:f>
              <c:numCache/>
            </c:numRef>
          </c:val>
        </c:ser>
        <c:ser>
          <c:idx val="1"/>
          <c:order val="1"/>
          <c:tx>
            <c:v>Disbursed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Dashboard!$A$11:$A$15</c:f>
            </c:strRef>
          </c:cat>
          <c:val>
            <c:numRef>
              <c:f>Dashboard!$C$11:$C$15</c:f>
              <c:numCache/>
            </c:numRef>
          </c:val>
        </c:ser>
        <c:axId val="1230593039"/>
        <c:axId val="547159780"/>
      </c:barChart>
      <c:catAx>
        <c:axId val="1230593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7159780"/>
      </c:catAx>
      <c:valAx>
        <c:axId val="547159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</c:title>
        <c:numFmt formatCode="#,##0;\(#,##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05930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Grant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Dashboard!$A$18:$A$21</c:f>
            </c:strRef>
          </c:cat>
          <c:val>
            <c:numRef>
              <c:f>Dashboard!$B$18:$B$21</c:f>
              <c:numCache/>
            </c:numRef>
          </c:val>
        </c:ser>
        <c:axId val="65620072"/>
        <c:axId val="1303373097"/>
      </c:barChart>
      <c:catAx>
        <c:axId val="65620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3373097"/>
      </c:catAx>
      <c:valAx>
        <c:axId val="1303373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Grants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5620072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Dashboard!$B$23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Dashboard!$A$24:$A$26</c:f>
            </c:strRef>
          </c:cat>
          <c:val>
            <c:numRef>
              <c:f>Dashboard!$B$24:$B$26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Utilisation by Grant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Utilisation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Dashboard!$A$11:$A$15</c:f>
            </c:strRef>
          </c:cat>
          <c:val>
            <c:numRef>
              <c:f>Dashboard!$D$11:$D$15</c:f>
              <c:numCache/>
            </c:numRef>
          </c:val>
        </c:ser>
        <c:axId val="850274955"/>
        <c:axId val="523234614"/>
      </c:barChart>
      <c:catAx>
        <c:axId val="8502749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23234614"/>
      </c:catAx>
      <c:valAx>
        <c:axId val="523234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0274955"/>
        <c:crosses val="max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Grant Health Score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Score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Dashboard!$A$30:$A$34</c:f>
            </c:strRef>
          </c:cat>
          <c:val>
            <c:numRef>
              <c:f>Dashboard!$B$30:$B$34</c:f>
              <c:numCache/>
            </c:numRef>
          </c:val>
        </c:ser>
        <c:axId val="1885901455"/>
        <c:axId val="345540665"/>
      </c:barChart>
      <c:catAx>
        <c:axId val="18859014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5540665"/>
      </c:catAx>
      <c:valAx>
        <c:axId val="3455406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5901455"/>
        <c:crosses val="max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6</xdr:row>
      <xdr:rowOff>114300</xdr:rowOff>
    </xdr:from>
    <xdr:ext cx="6686550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20</xdr:row>
      <xdr:rowOff>66675</xdr:rowOff>
    </xdr:from>
    <xdr:ext cx="4133850" cy="3276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571500</xdr:colOff>
      <xdr:row>20</xdr:row>
      <xdr:rowOff>66675</xdr:rowOff>
    </xdr:from>
    <xdr:ext cx="5610225" cy="3276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37</xdr:row>
      <xdr:rowOff>66675</xdr:rowOff>
    </xdr:from>
    <xdr:ext cx="5829300" cy="33432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428625</xdr:colOff>
      <xdr:row>37</xdr:row>
      <xdr:rowOff>66675</xdr:rowOff>
    </xdr:from>
    <xdr:ext cx="6486525" cy="33432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8" width="4.0"/>
    <col customWidth="1" min="9" max="26" width="8.71"/>
  </cols>
  <sheetData>
    <row r="1" ht="21.75" customHeight="1">
      <c r="A1" s="1" t="s">
        <v>0</v>
      </c>
    </row>
    <row r="2" ht="15.0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</row>
    <row r="4" ht="15.0" customHeight="1">
      <c r="A4" s="4" t="str">
        <f>"Portfolio comprises "&amp;COUNTA('Grant Tracker'!A6:A10)&amp;" active grants worth ₹"&amp;TEXT(SUM('Grant Tracker'!D6:D10)/10000000,"0.00")&amp;" crore. Overall utilisation is "&amp;TEXT(SUM('Grant Tracker'!E6:E10)/SUM('Grant Tracker'!D6:D10),"0%")&amp;". "&amp;COUNTIF('Grant Tracker'!P6:P10,"High")&amp;" grant(s) are high risk due to implementation or reporting delays. "&amp;(COUNTIF('Grant Tracker'!R6:R10,"*Due*")+COUNTIF('Grant Tracker'!R6:R10,"*Overdue*"))&amp;" report(s) are due or overdue within the current cycle."</f>
        <v>Portfolio comprises 5 active grants worth ₹1.72 crore. Overall utilisation is 47%. 1 grant(s) are high risk due to implementation or reporting delays. 3 report(s) are due or overdue within the current cycle.</v>
      </c>
      <c r="B4" s="5"/>
      <c r="C4" s="5"/>
      <c r="D4" s="5"/>
      <c r="E4" s="5"/>
      <c r="F4" s="5"/>
      <c r="G4" s="5"/>
      <c r="H4" s="6"/>
    </row>
    <row r="5" ht="15.0" customHeight="1">
      <c r="A5" s="7"/>
      <c r="H5" s="8"/>
    </row>
    <row r="6" ht="15.0" customHeight="1">
      <c r="A6" s="7"/>
      <c r="H6" s="8"/>
    </row>
    <row r="7" ht="15.0" customHeight="1">
      <c r="A7" s="9"/>
      <c r="B7" s="10"/>
      <c r="C7" s="10"/>
      <c r="D7" s="10"/>
      <c r="E7" s="10"/>
      <c r="F7" s="10"/>
      <c r="G7" s="10"/>
      <c r="H7" s="11"/>
    </row>
    <row r="8" ht="15.0" customHeight="1">
      <c r="A8" s="12" t="s">
        <v>2</v>
      </c>
      <c r="B8" s="3"/>
      <c r="C8" s="3"/>
      <c r="D8" s="3"/>
      <c r="E8" s="3"/>
      <c r="F8" s="3"/>
      <c r="G8" s="3"/>
      <c r="H8" s="3"/>
    </row>
    <row r="9" ht="15.0" customHeight="1">
      <c r="A9" s="13" t="s">
        <v>3</v>
      </c>
      <c r="B9" s="14">
        <f>SUM('Grant Tracker'!D6:D10)</f>
        <v>17200000</v>
      </c>
      <c r="C9" s="3"/>
      <c r="D9" s="3"/>
      <c r="E9" s="3"/>
      <c r="F9" s="3"/>
      <c r="G9" s="3"/>
      <c r="H9" s="3"/>
    </row>
    <row r="10" ht="15.0" customHeight="1">
      <c r="A10" s="13" t="s">
        <v>4</v>
      </c>
      <c r="B10" s="14">
        <f>SUM('Grant Tracker'!E6:E10)</f>
        <v>8090000</v>
      </c>
      <c r="C10" s="3"/>
      <c r="D10" s="3"/>
      <c r="E10" s="3"/>
      <c r="F10" s="3"/>
      <c r="G10" s="3"/>
      <c r="H10" s="3"/>
    </row>
    <row r="11" ht="15.0" customHeight="1">
      <c r="A11" s="13" t="s">
        <v>5</v>
      </c>
      <c r="B11" s="15">
        <f>SUM('Grant Tracker'!E6:E10)/SUM('Grant Tracker'!D6:D10)</f>
        <v>0.4703488372</v>
      </c>
      <c r="C11" s="3"/>
      <c r="D11" s="3"/>
      <c r="E11" s="3"/>
      <c r="F11" s="3"/>
      <c r="G11" s="3"/>
      <c r="H11" s="3"/>
    </row>
    <row r="12" ht="15.0" customHeight="1">
      <c r="A12" s="13" t="s">
        <v>6</v>
      </c>
      <c r="B12" s="16">
        <f>COUNTIF('Grant Tracker'!O6:O10,"&lt;&gt;Completed")</f>
        <v>4</v>
      </c>
      <c r="C12" s="3"/>
      <c r="D12" s="3"/>
      <c r="E12" s="3"/>
      <c r="F12" s="3"/>
      <c r="G12" s="3"/>
      <c r="H12" s="3"/>
    </row>
    <row r="13" ht="15.0" customHeight="1">
      <c r="A13" s="13" t="s">
        <v>7</v>
      </c>
      <c r="B13" s="16">
        <f>COUNTIF('Grant Tracker'!P6:P10,"High")</f>
        <v>1</v>
      </c>
      <c r="C13" s="3"/>
      <c r="D13" s="3"/>
      <c r="E13" s="3"/>
      <c r="F13" s="3"/>
      <c r="G13" s="3"/>
      <c r="H13" s="3"/>
    </row>
    <row r="14" ht="15.0" customHeight="1">
      <c r="A14" s="13" t="s">
        <v>8</v>
      </c>
      <c r="B14" s="16">
        <f>COUNTIF('Grant Tracker'!R6:R10,"*Due*")+COUNTIF('Grant Tracker'!R6:R10,"*Overdue*")</f>
        <v>3</v>
      </c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3">
    <mergeCell ref="A1:H1"/>
    <mergeCell ref="A2:H2"/>
    <mergeCell ref="A4:H7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5.0"/>
    <col customWidth="1" min="3" max="3" width="22.0"/>
    <col customWidth="1" min="4" max="14" width="10.57"/>
    <col customWidth="1" min="15" max="26" width="8.71"/>
  </cols>
  <sheetData>
    <row r="1" ht="24.0" customHeight="1">
      <c r="A1" s="17" t="s">
        <v>9</v>
      </c>
      <c r="O1" s="3"/>
    </row>
    <row r="2" ht="15.0" customHeight="1">
      <c r="A2" s="18" t="s">
        <v>10</v>
      </c>
      <c r="O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19.5" customHeight="1">
      <c r="A4" s="19" t="s">
        <v>11</v>
      </c>
      <c r="B4" s="20"/>
      <c r="C4" s="3"/>
      <c r="D4" s="19" t="s">
        <v>12</v>
      </c>
      <c r="E4" s="20"/>
      <c r="F4" s="3"/>
      <c r="G4" s="19" t="s">
        <v>13</v>
      </c>
      <c r="H4" s="20"/>
      <c r="I4" s="3"/>
      <c r="J4" s="19" t="s">
        <v>14</v>
      </c>
      <c r="K4" s="20"/>
      <c r="L4" s="3"/>
      <c r="M4" s="19" t="s">
        <v>15</v>
      </c>
      <c r="N4" s="20"/>
      <c r="O4" s="3"/>
    </row>
    <row r="5" ht="30.0" customHeight="1">
      <c r="A5" s="21">
        <f>'Grant Tracker'!D11</f>
        <v>17200000</v>
      </c>
      <c r="B5" s="6"/>
      <c r="C5" s="3"/>
      <c r="D5" s="21">
        <f>'Grant Tracker'!E11</f>
        <v>8090000</v>
      </c>
      <c r="E5" s="6"/>
      <c r="F5" s="3"/>
      <c r="G5" s="22">
        <f>'Grant Tracker'!G11</f>
        <v>0.4703488372</v>
      </c>
      <c r="H5" s="6"/>
      <c r="I5" s="3"/>
      <c r="J5" s="23">
        <f>COUNTIF('Grant Tracker'!O6:O10,"&lt;&gt;Completed")</f>
        <v>4</v>
      </c>
      <c r="K5" s="6"/>
      <c r="L5" s="3"/>
      <c r="M5" s="23">
        <f>COUNTIF('Grant Tracker'!P6:P10,"High")</f>
        <v>1</v>
      </c>
      <c r="N5" s="6"/>
      <c r="O5" s="3"/>
    </row>
    <row r="6" ht="30.0" customHeight="1">
      <c r="A6" s="9"/>
      <c r="B6" s="11"/>
      <c r="C6" s="3"/>
      <c r="D6" s="9"/>
      <c r="E6" s="11"/>
      <c r="F6" s="3"/>
      <c r="G6" s="9"/>
      <c r="H6" s="11"/>
      <c r="I6" s="3"/>
      <c r="J6" s="9"/>
      <c r="K6" s="11"/>
      <c r="L6" s="3"/>
      <c r="M6" s="9"/>
      <c r="N6" s="11"/>
      <c r="O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0" customHeight="1">
      <c r="A9" s="24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0" customHeight="1">
      <c r="A10" s="25" t="s">
        <v>17</v>
      </c>
      <c r="B10" s="25" t="s">
        <v>18</v>
      </c>
      <c r="C10" s="25" t="s">
        <v>19</v>
      </c>
      <c r="D10" s="25" t="s">
        <v>20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0" customHeight="1">
      <c r="A11" s="26" t="str">
        <f>'Grant Tracker'!A6</f>
        <v>Air Quality Monitoring</v>
      </c>
      <c r="B11" s="27">
        <f>'Grant Tracker'!D6</f>
        <v>4500000</v>
      </c>
      <c r="C11" s="27">
        <f>'Grant Tracker'!E6</f>
        <v>3200000</v>
      </c>
      <c r="D11" s="28">
        <f>'Grant Tracker'!G6</f>
        <v>0.7111111111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0" customHeight="1">
      <c r="A12" s="26" t="str">
        <f>'Grant Tracker'!A7</f>
        <v>City Emissions Programme</v>
      </c>
      <c r="B12" s="27">
        <f>'Grant Tracker'!D7</f>
        <v>6800000</v>
      </c>
      <c r="C12" s="27">
        <f>'Grant Tracker'!E7</f>
        <v>2100000</v>
      </c>
      <c r="D12" s="28">
        <f>'Grant Tracker'!G7</f>
        <v>0.3088235294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0" customHeight="1">
      <c r="A13" s="26" t="str">
        <f>'Grant Tracker'!A8</f>
        <v>CEO Clean Air Initiative</v>
      </c>
      <c r="B13" s="27">
        <f>'Grant Tracker'!D8</f>
        <v>1800000</v>
      </c>
      <c r="C13" s="27">
        <f>'Grant Tracker'!E8</f>
        <v>1800000</v>
      </c>
      <c r="D13" s="28">
        <f>'Grant Tracker'!G8</f>
        <v>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0" customHeight="1">
      <c r="A14" s="26" t="str">
        <f>'Grant Tracker'!A9</f>
        <v>Clean Air &amp; Health Project</v>
      </c>
      <c r="B14" s="27">
        <f>'Grant Tracker'!D9</f>
        <v>2900000</v>
      </c>
      <c r="C14" s="27">
        <f>'Grant Tracker'!E9</f>
        <v>950000</v>
      </c>
      <c r="D14" s="28">
        <f>'Grant Tracker'!G9</f>
        <v>0.3275862069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0" customHeight="1">
      <c r="A15" s="26" t="str">
        <f>'Grant Tracker'!A10</f>
        <v>Community Awareness Campaign</v>
      </c>
      <c r="B15" s="27">
        <f>'Grant Tracker'!D10</f>
        <v>1200000</v>
      </c>
      <c r="C15" s="27">
        <f>'Grant Tracker'!E10</f>
        <v>40000</v>
      </c>
      <c r="D15" s="28">
        <f>'Grant Tracker'!G10</f>
        <v>0.03333333333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0" customHeight="1">
      <c r="A17" s="25" t="s">
        <v>21</v>
      </c>
      <c r="B17" s="25" t="s">
        <v>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0" customHeight="1">
      <c r="A18" s="26" t="s">
        <v>23</v>
      </c>
      <c r="B18" s="26">
        <f>COUNTIF('Grant Tracker'!O6:O10,"On Track")</f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0" customHeight="1">
      <c r="A19" s="26" t="s">
        <v>24</v>
      </c>
      <c r="B19" s="26">
        <f>COUNTIF('Grant Tracker'!O6:O10,"Needs Attention")</f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0" customHeight="1">
      <c r="A20" s="26" t="s">
        <v>25</v>
      </c>
      <c r="B20" s="26">
        <f>COUNTIF('Grant Tracker'!O6:O10,"Completed")</f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0" customHeight="1">
      <c r="A21" s="26" t="s">
        <v>26</v>
      </c>
      <c r="B21" s="26">
        <f>COUNTIF('Grant Tracker'!O6:O10,"Delayed")</f>
        <v>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0" customHeight="1">
      <c r="A23" s="25" t="s">
        <v>27</v>
      </c>
      <c r="B23" s="25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0" customHeight="1">
      <c r="A24" s="26" t="s">
        <v>28</v>
      </c>
      <c r="B24" s="26">
        <f>COUNTIF('Grant Tracker'!P6:P10,"Low")</f>
        <v>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0" customHeight="1">
      <c r="A25" s="26" t="s">
        <v>29</v>
      </c>
      <c r="B25" s="26">
        <f>COUNTIF('Grant Tracker'!P6:P10,"Medium")</f>
        <v>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0" customHeight="1">
      <c r="A26" s="26" t="s">
        <v>30</v>
      </c>
      <c r="B26" s="26">
        <f>COUNTIF('Grant Tracker'!P6:P10,"High")</f>
        <v>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0" customHeight="1">
      <c r="A28" s="29" t="s">
        <v>31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0" customHeight="1">
      <c r="A29" s="30" t="s">
        <v>17</v>
      </c>
      <c r="B29" s="30" t="s">
        <v>32</v>
      </c>
      <c r="C29" s="30" t="s">
        <v>33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0" customHeight="1">
      <c r="A30" s="26" t="str">
        <f>'Grant Tracker'!A6</f>
        <v>Air Quality Monitoring</v>
      </c>
      <c r="B30" s="31">
        <f>'Grant Tracker'!S6</f>
        <v>100</v>
      </c>
      <c r="C30" s="32" t="str">
        <f>'Grant Tracker'!T6</f>
        <v>🟢 Green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0" customHeight="1">
      <c r="A31" s="26" t="str">
        <f>'Grant Tracker'!A7</f>
        <v>City Emissions Programme</v>
      </c>
      <c r="B31" s="31">
        <f>'Grant Tracker'!S7</f>
        <v>75</v>
      </c>
      <c r="C31" s="32" t="str">
        <f>'Grant Tracker'!T7</f>
        <v>🟡 Amber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0" customHeight="1">
      <c r="A32" s="26" t="str">
        <f>'Grant Tracker'!A8</f>
        <v>CEO Clean Air Initiative</v>
      </c>
      <c r="B32" s="31">
        <f>'Grant Tracker'!S8</f>
        <v>100</v>
      </c>
      <c r="C32" s="32" t="str">
        <f>'Grant Tracker'!T8</f>
        <v>🟢 Green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0" customHeight="1">
      <c r="A33" s="26" t="str">
        <f>'Grant Tracker'!A9</f>
        <v>Clean Air &amp; Health Project</v>
      </c>
      <c r="B33" s="31">
        <f>'Grant Tracker'!S9</f>
        <v>100</v>
      </c>
      <c r="C33" s="32" t="str">
        <f>'Grant Tracker'!T9</f>
        <v>🟢 Green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0" customHeight="1">
      <c r="A34" s="26" t="str">
        <f>'Grant Tracker'!A10</f>
        <v>Community Awareness Campaign</v>
      </c>
      <c r="B34" s="31">
        <f>'Grant Tracker'!S10</f>
        <v>30</v>
      </c>
      <c r="C34" s="32" t="str">
        <f>'Grant Tracker'!T10</f>
        <v>🔴 Red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0" customHeight="1">
      <c r="A37" s="29" t="s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0" customHeight="1">
      <c r="A38" s="30" t="s">
        <v>17</v>
      </c>
      <c r="B38" s="30" t="s">
        <v>35</v>
      </c>
      <c r="C38" s="30" t="s">
        <v>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0" customHeight="1">
      <c r="A39" s="26" t="str">
        <f>'Grant Tracker'!A6</f>
        <v>Air Quality Monitoring</v>
      </c>
      <c r="B39" s="33">
        <f>'Grant Tracker'!Q6</f>
        <v>46242</v>
      </c>
      <c r="C39" s="26" t="str">
        <f>'Grant Tracker'!R6</f>
        <v>🟢 31 days remaining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0" customHeight="1">
      <c r="A40" s="26" t="str">
        <f>'Grant Tracker'!A7</f>
        <v>City Emissions Programme</v>
      </c>
      <c r="B40" s="33">
        <f>'Grant Tracker'!Q7</f>
        <v>46220</v>
      </c>
      <c r="C40" s="26" t="str">
        <f>'Grant Tracker'!R7</f>
        <v>🟡 Due in 9 days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0" customHeight="1">
      <c r="A41" s="26" t="str">
        <f>'Grant Tracker'!A8</f>
        <v>CEO Clean Air Initiative</v>
      </c>
      <c r="B41" s="33">
        <f>'Grant Tracker'!Q8</f>
        <v>46213</v>
      </c>
      <c r="C41" s="26" t="str">
        <f>'Grant Tracker'!R8</f>
        <v>✅ Final report submitted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0" customHeight="1">
      <c r="A42" s="26" t="str">
        <f>'Grant Tracker'!A9</f>
        <v>Clean Air &amp; Health Project</v>
      </c>
      <c r="B42" s="33">
        <f>'Grant Tracker'!Q9</f>
        <v>46270</v>
      </c>
      <c r="C42" s="26" t="str">
        <f>'Grant Tracker'!R9</f>
        <v>🟢 59 days remaining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0" customHeight="1">
      <c r="A43" s="26" t="str">
        <f>'Grant Tracker'!A10</f>
        <v>Community Awareness Campaign</v>
      </c>
      <c r="B43" s="33">
        <f>'Grant Tracker'!Q10</f>
        <v>46205</v>
      </c>
      <c r="C43" s="26" t="str">
        <f>'Grant Tracker'!R10</f>
        <v>🔴 Overdue by 6 days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mergeCells count="12">
    <mergeCell ref="D4:E4"/>
    <mergeCell ref="D5:E6"/>
    <mergeCell ref="J4:K4"/>
    <mergeCell ref="J5:K6"/>
    <mergeCell ref="A1:N1"/>
    <mergeCell ref="A2:N2"/>
    <mergeCell ref="A4:B4"/>
    <mergeCell ref="G4:H4"/>
    <mergeCell ref="M4:N4"/>
    <mergeCell ref="A5:B6"/>
    <mergeCell ref="G5:H6"/>
    <mergeCell ref="M5:N6"/>
  </mergeCells>
  <conditionalFormatting sqref="B30:B34">
    <cfRule type="colorScale" priority="1">
      <colorScale>
        <cfvo type="formula" val="0"/>
        <cfvo type="formula" val="65"/>
        <cfvo type="formula" val="100"/>
        <color rgb="FFFFC7CE"/>
        <color rgb="FFFFEB9C"/>
        <color rgb="FFC6EFCE"/>
      </colorScale>
    </cfRule>
  </conditionalFormatting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30.0"/>
    <col customWidth="1" min="3" max="3" width="22.0"/>
    <col customWidth="1" min="4" max="6" width="15.0"/>
    <col customWidth="1" min="7" max="7" width="11.0"/>
    <col customWidth="1" min="8" max="11" width="12.0"/>
    <col customWidth="1" min="12" max="12" width="10.0"/>
    <col customWidth="1" min="13" max="13" width="15.0"/>
    <col customWidth="1" min="14" max="14" width="10.0"/>
    <col customWidth="1" min="15" max="15" width="15.0"/>
    <col customWidth="1" min="16" max="16" width="9.0"/>
    <col customWidth="1" min="17" max="17" width="12.0"/>
    <col customWidth="1" min="18" max="18" width="20.0"/>
    <col customWidth="1" min="19" max="20" width="10.0"/>
    <col customWidth="1" min="21" max="21" width="36.0"/>
    <col customWidth="1" min="22" max="26" width="8.71"/>
  </cols>
  <sheetData>
    <row r="1" ht="17.25" customHeight="1">
      <c r="A1" s="34" t="s">
        <v>36</v>
      </c>
    </row>
    <row r="2" ht="15.0" customHeight="1">
      <c r="A2" s="2" t="s">
        <v>37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2.25" customHeight="1">
      <c r="A5" s="35" t="s">
        <v>38</v>
      </c>
      <c r="B5" s="35" t="s">
        <v>39</v>
      </c>
      <c r="C5" s="35" t="s">
        <v>40</v>
      </c>
      <c r="D5" s="35" t="s">
        <v>41</v>
      </c>
      <c r="E5" s="35" t="s">
        <v>42</v>
      </c>
      <c r="F5" s="35" t="s">
        <v>43</v>
      </c>
      <c r="G5" s="35" t="s">
        <v>44</v>
      </c>
      <c r="H5" s="35" t="s">
        <v>45</v>
      </c>
      <c r="I5" s="35" t="s">
        <v>46</v>
      </c>
      <c r="J5" s="35" t="s">
        <v>47</v>
      </c>
      <c r="K5" s="35" t="s">
        <v>48</v>
      </c>
      <c r="L5" s="35" t="s">
        <v>49</v>
      </c>
      <c r="M5" s="35" t="s">
        <v>50</v>
      </c>
      <c r="N5" s="35" t="s">
        <v>51</v>
      </c>
      <c r="O5" s="35" t="s">
        <v>21</v>
      </c>
      <c r="P5" s="35" t="s">
        <v>27</v>
      </c>
      <c r="Q5" s="35" t="s">
        <v>35</v>
      </c>
      <c r="R5" s="35" t="s">
        <v>52</v>
      </c>
      <c r="S5" s="35" t="s">
        <v>53</v>
      </c>
      <c r="T5" s="35" t="s">
        <v>54</v>
      </c>
      <c r="U5" s="35" t="s">
        <v>55</v>
      </c>
    </row>
    <row r="6" ht="26.25" customHeight="1">
      <c r="A6" s="36" t="s">
        <v>56</v>
      </c>
      <c r="B6" s="36" t="s">
        <v>57</v>
      </c>
      <c r="C6" s="36" t="s">
        <v>58</v>
      </c>
      <c r="D6" s="37">
        <v>4500000.0</v>
      </c>
      <c r="E6" s="37">
        <v>3200000.0</v>
      </c>
      <c r="F6" s="37">
        <f t="shared" ref="F6:F10" si="1">D6-E6</f>
        <v>1300000</v>
      </c>
      <c r="G6" s="38">
        <f t="shared" ref="G6:G11" si="2">E6/D6</f>
        <v>0.7111111111</v>
      </c>
      <c r="H6" s="38">
        <f t="shared" ref="H6:H11" si="3">F6/D6</f>
        <v>0.2888888889</v>
      </c>
      <c r="I6" s="39">
        <v>45748.0</v>
      </c>
      <c r="J6" s="39">
        <v>46477.0</v>
      </c>
      <c r="K6" s="40">
        <f t="shared" ref="K6:K10" si="4">J6-TODAY()</f>
        <v>266</v>
      </c>
      <c r="L6" s="38">
        <f t="shared" ref="L6:L10" si="5">MIN(1,MAX(0,(TODAY()-I6)/(J6-I6)))</f>
        <v>0.6351165981</v>
      </c>
      <c r="M6" s="37">
        <f t="shared" ref="M6:M10" si="6">D6*L6</f>
        <v>2858024.691</v>
      </c>
      <c r="N6" s="41">
        <f t="shared" ref="N6:N10" si="7">IF(M6=0,0,(E6-M6)/M6)</f>
        <v>0.1196544276</v>
      </c>
      <c r="O6" s="42" t="s">
        <v>23</v>
      </c>
      <c r="P6" s="42" t="s">
        <v>28</v>
      </c>
      <c r="Q6" s="39">
        <v>46242.0</v>
      </c>
      <c r="R6" s="36" t="str">
        <f t="shared" ref="R6:R10" si="8">IF(O6="Completed","✅ Final report submitted",IF((Q6-TODAY())&lt;0,"🔴 Overdue by "&amp;ABS(Q6-TODAY())&amp;" days",IF((Q6-TODAY())&lt;=10,"🟡 Due in "&amp;(Q6-TODAY())&amp;" days","🟢 "&amp;(Q6-TODAY())&amp;" days remaining")))</f>
        <v>🟢 31 days remaining</v>
      </c>
      <c r="S6" s="43">
        <f t="shared" ref="S6:S10" si="9">100-IF(O6="Delayed",20,IF(O6="Needs Attention",10,0))-IF(P6="Medium",15,IF(P6="High",30,0))-IF(AND(O6&lt;&gt;"Completed",(Q6-TODAY())&lt;0),20,0)</f>
        <v>100</v>
      </c>
      <c r="T6" s="42" t="str">
        <f t="shared" ref="T6:T10" si="10">IF(S6&gt;=80,"🟢 Green",IF(S6&gt;=50,"🟡 Amber","🔴 Red"))</f>
        <v>🟢 Green</v>
      </c>
      <c r="U6" s="44" t="s">
        <v>59</v>
      </c>
    </row>
    <row r="7" ht="39.0" customHeight="1">
      <c r="A7" s="36" t="s">
        <v>60</v>
      </c>
      <c r="B7" s="36" t="s">
        <v>61</v>
      </c>
      <c r="C7" s="36" t="s">
        <v>62</v>
      </c>
      <c r="D7" s="37">
        <v>6800000.0</v>
      </c>
      <c r="E7" s="37">
        <v>2100000.0</v>
      </c>
      <c r="F7" s="37">
        <f t="shared" si="1"/>
        <v>4700000</v>
      </c>
      <c r="G7" s="38">
        <f t="shared" si="2"/>
        <v>0.3088235294</v>
      </c>
      <c r="H7" s="38">
        <f t="shared" si="3"/>
        <v>0.6911764706</v>
      </c>
      <c r="I7" s="39">
        <v>45809.0</v>
      </c>
      <c r="J7" s="39">
        <v>46356.0</v>
      </c>
      <c r="K7" s="40">
        <f t="shared" si="4"/>
        <v>145</v>
      </c>
      <c r="L7" s="38">
        <f t="shared" si="5"/>
        <v>0.7349177331</v>
      </c>
      <c r="M7" s="37">
        <f t="shared" si="6"/>
        <v>4997440.585</v>
      </c>
      <c r="N7" s="41">
        <f t="shared" si="7"/>
        <v>-0.579784899</v>
      </c>
      <c r="O7" s="42" t="s">
        <v>24</v>
      </c>
      <c r="P7" s="42" t="s">
        <v>29</v>
      </c>
      <c r="Q7" s="39">
        <v>46220.0</v>
      </c>
      <c r="R7" s="36" t="str">
        <f t="shared" si="8"/>
        <v>🟡 Due in 9 days</v>
      </c>
      <c r="S7" s="43">
        <f t="shared" si="9"/>
        <v>75</v>
      </c>
      <c r="T7" s="42" t="str">
        <f t="shared" si="10"/>
        <v>🟡 Amber</v>
      </c>
      <c r="U7" s="44" t="s">
        <v>63</v>
      </c>
    </row>
    <row r="8" ht="26.25" customHeight="1">
      <c r="A8" s="36" t="s">
        <v>64</v>
      </c>
      <c r="B8" s="36" t="s">
        <v>65</v>
      </c>
      <c r="C8" s="36" t="s">
        <v>66</v>
      </c>
      <c r="D8" s="37">
        <v>1800000.0</v>
      </c>
      <c r="E8" s="37">
        <v>1800000.0</v>
      </c>
      <c r="F8" s="37">
        <f t="shared" si="1"/>
        <v>0</v>
      </c>
      <c r="G8" s="38">
        <f t="shared" si="2"/>
        <v>1</v>
      </c>
      <c r="H8" s="38">
        <f t="shared" si="3"/>
        <v>0</v>
      </c>
      <c r="I8" s="39">
        <v>45658.0</v>
      </c>
      <c r="J8" s="39">
        <v>46203.0</v>
      </c>
      <c r="K8" s="40">
        <f t="shared" si="4"/>
        <v>-8</v>
      </c>
      <c r="L8" s="38">
        <f t="shared" si="5"/>
        <v>1</v>
      </c>
      <c r="M8" s="37">
        <f t="shared" si="6"/>
        <v>1800000</v>
      </c>
      <c r="N8" s="41">
        <f t="shared" si="7"/>
        <v>0</v>
      </c>
      <c r="O8" s="42" t="s">
        <v>25</v>
      </c>
      <c r="P8" s="42" t="s">
        <v>28</v>
      </c>
      <c r="Q8" s="39">
        <v>46213.0</v>
      </c>
      <c r="R8" s="36" t="str">
        <f t="shared" si="8"/>
        <v>✅ Final report submitted</v>
      </c>
      <c r="S8" s="43">
        <f t="shared" si="9"/>
        <v>100</v>
      </c>
      <c r="T8" s="42" t="str">
        <f t="shared" si="10"/>
        <v>🟢 Green</v>
      </c>
      <c r="U8" s="44" t="s">
        <v>67</v>
      </c>
    </row>
    <row r="9" ht="26.25" customHeight="1">
      <c r="A9" s="36" t="s">
        <v>68</v>
      </c>
      <c r="B9" s="36" t="s">
        <v>69</v>
      </c>
      <c r="C9" s="36" t="s">
        <v>70</v>
      </c>
      <c r="D9" s="37">
        <v>2900000.0</v>
      </c>
      <c r="E9" s="37">
        <v>950000.0</v>
      </c>
      <c r="F9" s="37">
        <f t="shared" si="1"/>
        <v>1950000</v>
      </c>
      <c r="G9" s="38">
        <f t="shared" si="2"/>
        <v>0.3275862069</v>
      </c>
      <c r="H9" s="38">
        <f t="shared" si="3"/>
        <v>0.6724137931</v>
      </c>
      <c r="I9" s="39">
        <v>45901.0</v>
      </c>
      <c r="J9" s="39">
        <v>46446.0</v>
      </c>
      <c r="K9" s="40">
        <f t="shared" si="4"/>
        <v>235</v>
      </c>
      <c r="L9" s="38">
        <f t="shared" si="5"/>
        <v>0.5688073394</v>
      </c>
      <c r="M9" s="37">
        <f t="shared" si="6"/>
        <v>1649541.284</v>
      </c>
      <c r="N9" s="41">
        <f t="shared" si="7"/>
        <v>-0.4240823137</v>
      </c>
      <c r="O9" s="42" t="s">
        <v>23</v>
      </c>
      <c r="P9" s="42" t="s">
        <v>28</v>
      </c>
      <c r="Q9" s="39">
        <v>46270.0</v>
      </c>
      <c r="R9" s="36" t="str">
        <f t="shared" si="8"/>
        <v>🟢 59 days remaining</v>
      </c>
      <c r="S9" s="43">
        <f t="shared" si="9"/>
        <v>100</v>
      </c>
      <c r="T9" s="42" t="str">
        <f t="shared" si="10"/>
        <v>🟢 Green</v>
      </c>
      <c r="U9" s="44" t="s">
        <v>71</v>
      </c>
    </row>
    <row r="10" ht="39.0" customHeight="1">
      <c r="A10" s="36" t="s">
        <v>72</v>
      </c>
      <c r="B10" s="36" t="s">
        <v>73</v>
      </c>
      <c r="C10" s="36" t="s">
        <v>74</v>
      </c>
      <c r="D10" s="37">
        <v>1200000.0</v>
      </c>
      <c r="E10" s="37">
        <v>40000.0</v>
      </c>
      <c r="F10" s="37">
        <f t="shared" si="1"/>
        <v>1160000</v>
      </c>
      <c r="G10" s="38">
        <f t="shared" si="2"/>
        <v>0.03333333333</v>
      </c>
      <c r="H10" s="38">
        <f t="shared" si="3"/>
        <v>0.9666666667</v>
      </c>
      <c r="I10" s="39">
        <v>45931.0</v>
      </c>
      <c r="J10" s="39">
        <v>46295.0</v>
      </c>
      <c r="K10" s="40">
        <f t="shared" si="4"/>
        <v>84</v>
      </c>
      <c r="L10" s="38">
        <f t="shared" si="5"/>
        <v>0.7692307692</v>
      </c>
      <c r="M10" s="37">
        <f t="shared" si="6"/>
        <v>923076.9231</v>
      </c>
      <c r="N10" s="41">
        <f t="shared" si="7"/>
        <v>-0.9566666667</v>
      </c>
      <c r="O10" s="42" t="s">
        <v>26</v>
      </c>
      <c r="P10" s="42" t="s">
        <v>30</v>
      </c>
      <c r="Q10" s="39">
        <v>46205.0</v>
      </c>
      <c r="R10" s="36" t="str">
        <f t="shared" si="8"/>
        <v>🔴 Overdue by 6 days</v>
      </c>
      <c r="S10" s="43">
        <f t="shared" si="9"/>
        <v>30</v>
      </c>
      <c r="T10" s="42" t="str">
        <f t="shared" si="10"/>
        <v>🔴 Red</v>
      </c>
      <c r="U10" s="44" t="s">
        <v>75</v>
      </c>
    </row>
    <row r="11" ht="15.0" customHeight="1">
      <c r="A11" s="45" t="s">
        <v>76</v>
      </c>
      <c r="B11" s="46"/>
      <c r="C11" s="46"/>
      <c r="D11" s="47">
        <f t="shared" ref="D11:F11" si="11">SUM(D6:D10)</f>
        <v>17200000</v>
      </c>
      <c r="E11" s="47">
        <f t="shared" si="11"/>
        <v>8090000</v>
      </c>
      <c r="F11" s="47">
        <f t="shared" si="11"/>
        <v>9110000</v>
      </c>
      <c r="G11" s="48">
        <f t="shared" si="2"/>
        <v>0.4703488372</v>
      </c>
      <c r="H11" s="48">
        <f t="shared" si="3"/>
        <v>0.5296511628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mergeCells count="2">
    <mergeCell ref="A1:U1"/>
    <mergeCell ref="A2:U2"/>
  </mergeCells>
  <conditionalFormatting sqref="O6:O10">
    <cfRule type="cellIs" dxfId="0" priority="1" operator="equal">
      <formula>"On Track"</formula>
    </cfRule>
  </conditionalFormatting>
  <conditionalFormatting sqref="O6:O10">
    <cfRule type="cellIs" dxfId="0" priority="2" operator="equal">
      <formula>"Completed"</formula>
    </cfRule>
  </conditionalFormatting>
  <conditionalFormatting sqref="O6:O10">
    <cfRule type="cellIs" dxfId="1" priority="3" operator="equal">
      <formula>"Needs Attention"</formula>
    </cfRule>
  </conditionalFormatting>
  <conditionalFormatting sqref="O6:O10">
    <cfRule type="cellIs" dxfId="2" priority="4" operator="equal">
      <formula>"Delayed"</formula>
    </cfRule>
  </conditionalFormatting>
  <conditionalFormatting sqref="P6:P10">
    <cfRule type="cellIs" dxfId="0" priority="5" operator="equal">
      <formula>"Low"</formula>
    </cfRule>
  </conditionalFormatting>
  <conditionalFormatting sqref="P6:P10">
    <cfRule type="cellIs" dxfId="1" priority="6" operator="equal">
      <formula>"Medium"</formula>
    </cfRule>
  </conditionalFormatting>
  <conditionalFormatting sqref="P6:P10">
    <cfRule type="cellIs" dxfId="2" priority="7" operator="equal">
      <formula>"High"</formula>
    </cfRule>
  </conditionalFormatting>
  <conditionalFormatting sqref="G6:G10">
    <cfRule type="colorScale" priority="8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S6:S10">
    <cfRule type="colorScale" priority="9">
      <colorScale>
        <cfvo type="formula" val="0"/>
        <cfvo type="formula" val="65"/>
        <cfvo type="formula" val="100"/>
        <color rgb="FFFFC7CE"/>
        <color rgb="FFFFEB9C"/>
        <color rgb="FFC6EFCE"/>
      </colorScale>
    </cfRule>
  </conditionalFormatting>
  <dataValidations>
    <dataValidation type="list" allowBlank="1" sqref="P6:P10">
      <formula1>"Low,Medium,High"</formula1>
    </dataValidation>
    <dataValidation type="list" allowBlank="1" sqref="O6:O10">
      <formula1>"On Track,Needs Attention,Completed,Delayed"</formula1>
    </dataValidation>
  </dataValidations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15.0"/>
    <col customWidth="1" min="4" max="5" width="12.0"/>
    <col customWidth="1" min="6" max="6" width="14.0"/>
    <col customWidth="1" min="7" max="9" width="16.0"/>
    <col customWidth="1" min="10" max="10" width="12.0"/>
    <col customWidth="1" min="11" max="11" width="13.0"/>
    <col customWidth="1" min="12" max="12" width="11.0"/>
    <col customWidth="1" min="13" max="14" width="30.0"/>
    <col customWidth="1" min="15" max="26" width="8.71"/>
  </cols>
  <sheetData>
    <row r="1" ht="17.25" customHeight="1">
      <c r="A1" s="34" t="s">
        <v>77</v>
      </c>
    </row>
    <row r="2" ht="15.0" customHeight="1">
      <c r="A2" s="2" t="s">
        <v>78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2.25" customHeight="1">
      <c r="A4" s="35" t="s">
        <v>38</v>
      </c>
      <c r="B4" s="35" t="s">
        <v>79</v>
      </c>
      <c r="C4" s="35" t="s">
        <v>80</v>
      </c>
      <c r="D4" s="35" t="s">
        <v>81</v>
      </c>
      <c r="E4" s="35" t="s">
        <v>82</v>
      </c>
      <c r="F4" s="35" t="s">
        <v>83</v>
      </c>
      <c r="G4" s="35" t="s">
        <v>84</v>
      </c>
      <c r="H4" s="35" t="s">
        <v>85</v>
      </c>
      <c r="I4" s="35" t="s">
        <v>86</v>
      </c>
      <c r="J4" s="35" t="s">
        <v>87</v>
      </c>
      <c r="K4" s="35" t="s">
        <v>88</v>
      </c>
      <c r="L4" s="35" t="s">
        <v>89</v>
      </c>
      <c r="M4" s="35" t="s">
        <v>90</v>
      </c>
      <c r="N4" s="35" t="s">
        <v>91</v>
      </c>
    </row>
    <row r="5" ht="15.0" customHeight="1">
      <c r="A5" s="49" t="s">
        <v>56</v>
      </c>
      <c r="B5" s="39">
        <v>46174.0</v>
      </c>
      <c r="C5" s="39">
        <v>46183.0</v>
      </c>
      <c r="D5" s="49" t="s">
        <v>92</v>
      </c>
      <c r="E5" s="49" t="s">
        <v>93</v>
      </c>
      <c r="F5" s="39">
        <v>46191.0</v>
      </c>
      <c r="G5" s="50">
        <v>3200000.0</v>
      </c>
      <c r="H5" s="51">
        <f>'Grant Tracker'!E6</f>
        <v>3200000</v>
      </c>
      <c r="I5" s="52">
        <f t="shared" ref="I5:I9" si="1">G5-H5</f>
        <v>0</v>
      </c>
      <c r="J5" s="36">
        <v>6.0</v>
      </c>
      <c r="K5" s="36">
        <v>4.0</v>
      </c>
      <c r="L5" s="53">
        <f t="shared" ref="L5:L9" si="2">K5/J5</f>
        <v>0.6666666667</v>
      </c>
      <c r="M5" s="54" t="s">
        <v>94</v>
      </c>
      <c r="N5" s="54" t="s">
        <v>95</v>
      </c>
    </row>
    <row r="6" ht="15.0" customHeight="1">
      <c r="A6" s="49" t="s">
        <v>60</v>
      </c>
      <c r="B6" s="39">
        <v>46188.0</v>
      </c>
      <c r="C6" s="39"/>
      <c r="D6" s="49" t="s">
        <v>92</v>
      </c>
      <c r="E6" s="49" t="s">
        <v>92</v>
      </c>
      <c r="F6" s="39"/>
      <c r="G6" s="50">
        <v>2100000.0</v>
      </c>
      <c r="H6" s="51">
        <f>'Grant Tracker'!E7</f>
        <v>2100000</v>
      </c>
      <c r="I6" s="52">
        <f t="shared" si="1"/>
        <v>0</v>
      </c>
      <c r="J6" s="36">
        <v>5.0</v>
      </c>
      <c r="K6" s="36">
        <v>2.0</v>
      </c>
      <c r="L6" s="53">
        <f t="shared" si="2"/>
        <v>0.4</v>
      </c>
      <c r="M6" s="54" t="s">
        <v>96</v>
      </c>
      <c r="N6" s="54" t="s">
        <v>97</v>
      </c>
    </row>
    <row r="7" ht="15.0" customHeight="1">
      <c r="A7" s="49" t="s">
        <v>64</v>
      </c>
      <c r="B7" s="39">
        <v>46178.0</v>
      </c>
      <c r="C7" s="39">
        <v>46185.0</v>
      </c>
      <c r="D7" s="49" t="s">
        <v>92</v>
      </c>
      <c r="E7" s="49" t="s">
        <v>93</v>
      </c>
      <c r="F7" s="39">
        <v>46193.0</v>
      </c>
      <c r="G7" s="50">
        <v>1800000.0</v>
      </c>
      <c r="H7" s="51">
        <f>'Grant Tracker'!E8</f>
        <v>1800000</v>
      </c>
      <c r="I7" s="52">
        <f t="shared" si="1"/>
        <v>0</v>
      </c>
      <c r="J7" s="36">
        <v>4.0</v>
      </c>
      <c r="K7" s="36">
        <v>4.0</v>
      </c>
      <c r="L7" s="53">
        <f t="shared" si="2"/>
        <v>1</v>
      </c>
      <c r="M7" s="54" t="s">
        <v>98</v>
      </c>
      <c r="N7" s="54" t="s">
        <v>99</v>
      </c>
    </row>
    <row r="8" ht="15.0" customHeight="1">
      <c r="A8" s="49" t="s">
        <v>68</v>
      </c>
      <c r="B8" s="39">
        <v>46193.0</v>
      </c>
      <c r="C8" s="39">
        <v>46201.0</v>
      </c>
      <c r="D8" s="49" t="s">
        <v>92</v>
      </c>
      <c r="E8" s="49" t="s">
        <v>93</v>
      </c>
      <c r="F8" s="39">
        <v>46205.0</v>
      </c>
      <c r="G8" s="50">
        <v>950000.0</v>
      </c>
      <c r="H8" s="51">
        <f>'Grant Tracker'!E9</f>
        <v>950000</v>
      </c>
      <c r="I8" s="52">
        <f t="shared" si="1"/>
        <v>0</v>
      </c>
      <c r="J8" s="36">
        <v>5.0</v>
      </c>
      <c r="K8" s="36">
        <v>2.0</v>
      </c>
      <c r="L8" s="53">
        <f t="shared" si="2"/>
        <v>0.4</v>
      </c>
      <c r="M8" s="54" t="s">
        <v>100</v>
      </c>
      <c r="N8" s="54" t="s">
        <v>101</v>
      </c>
    </row>
    <row r="9" ht="15.0" customHeight="1">
      <c r="A9" s="49" t="s">
        <v>72</v>
      </c>
      <c r="B9" s="39">
        <v>46162.0</v>
      </c>
      <c r="C9" s="39"/>
      <c r="D9" s="49" t="s">
        <v>93</v>
      </c>
      <c r="E9" s="49" t="s">
        <v>92</v>
      </c>
      <c r="F9" s="39"/>
      <c r="G9" s="50">
        <v>40000.0</v>
      </c>
      <c r="H9" s="51">
        <f>'Grant Tracker'!E10</f>
        <v>40000</v>
      </c>
      <c r="I9" s="52">
        <f t="shared" si="1"/>
        <v>0</v>
      </c>
      <c r="J9" s="36">
        <v>4.0</v>
      </c>
      <c r="K9" s="36">
        <v>1.0</v>
      </c>
      <c r="L9" s="53">
        <f t="shared" si="2"/>
        <v>0.25</v>
      </c>
      <c r="M9" s="54" t="s">
        <v>102</v>
      </c>
      <c r="N9" s="54" t="s">
        <v>103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mergeCells count="2">
    <mergeCell ref="A1:N1"/>
    <mergeCell ref="A2:N2"/>
  </mergeCells>
  <conditionalFormatting sqref="I5:I9">
    <cfRule type="cellIs" dxfId="1" priority="1" operator="not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